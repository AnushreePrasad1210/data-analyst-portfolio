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xr:revisionPtr revIDLastSave="0" documentId="8_{CFADA168-5A40-4405-B8D2-EED9FECF443B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Executive_Dashboard" sheetId="9" r:id="rId1"/>
    <sheet name="live_calculator" sheetId="7" r:id="rId2"/>
    <sheet name="Territory_Performance" sheetId="3" r:id="rId3"/>
    <sheet name="Doctor_Segment_Summary" sheetId="5" r:id="rId4"/>
    <sheet name="Doctor_Segmentation" sheetId="4" r:id="rId5"/>
    <sheet name="Lookup_Table" sheetId="6" state="hidden" r:id="rId6"/>
    <sheet name="Pivot_Table" sheetId="2" r:id="rId7"/>
    <sheet name="KPI_Cards" sheetId="8" r:id="rId8"/>
    <sheet name="Data_Source" sheetId="1" state="hidden" r:id="rId9"/>
  </sheets>
  <definedNames>
    <definedName name="Slicer_segment1">#N/A</definedName>
  </definedNames>
  <calcPr calcId="191028"/>
  <pivotCaches>
    <pivotCache cacheId="675" r:id="rId10"/>
    <pivotCache cacheId="676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2" i="3"/>
  <c r="E2" i="8"/>
  <c r="B4" i="7" a="1"/>
  <c r="B4" i="7"/>
  <c r="E2" i="9"/>
  <c r="C3" i="9"/>
  <c r="C2" i="9"/>
  <c r="B2" i="9"/>
  <c r="A2" i="9"/>
  <c r="B2" i="8"/>
  <c r="C3" i="8"/>
  <c r="C2" i="8"/>
  <c r="A2" i="8"/>
  <c r="B5" i="7"/>
  <c r="B2" i="7"/>
  <c r="F3" i="4"/>
  <c r="G3" i="4" s="1" a="1"/>
  <c r="G3" i="4" s="1"/>
  <c r="F4" i="4"/>
  <c r="G4" i="4" s="1" a="1"/>
  <c r="G4" i="4" s="1"/>
  <c r="F5" i="4"/>
  <c r="G5" i="4" s="1" a="1"/>
  <c r="G5" i="4" s="1"/>
  <c r="F6" i="4"/>
  <c r="G6" i="4" s="1" a="1"/>
  <c r="G6" i="4" s="1"/>
  <c r="F7" i="4"/>
  <c r="G7" i="4" s="1" a="1"/>
  <c r="G7" i="4" s="1"/>
  <c r="F8" i="4"/>
  <c r="G8" i="4" s="1" a="1"/>
  <c r="G8" i="4" s="1"/>
  <c r="F9" i="4"/>
  <c r="G9" i="4" s="1" a="1"/>
  <c r="G9" i="4" s="1"/>
  <c r="F10" i="4"/>
  <c r="G10" i="4" s="1" a="1"/>
  <c r="G10" i="4" s="1"/>
  <c r="F11" i="4"/>
  <c r="G11" i="4" s="1" a="1"/>
  <c r="G11" i="4" s="1"/>
  <c r="F12" i="4"/>
  <c r="G12" i="4" s="1" a="1"/>
  <c r="G12" i="4" s="1"/>
  <c r="F13" i="4"/>
  <c r="G13" i="4" s="1" a="1"/>
  <c r="G13" i="4" s="1"/>
  <c r="F14" i="4"/>
  <c r="G14" i="4" s="1" a="1"/>
  <c r="G14" i="4" s="1"/>
  <c r="F15" i="4"/>
  <c r="G15" i="4" s="1" a="1"/>
  <c r="G15" i="4" s="1"/>
  <c r="F16" i="4"/>
  <c r="G16" i="4" s="1" a="1"/>
  <c r="G16" i="4" s="1"/>
  <c r="F17" i="4"/>
  <c r="G17" i="4" s="1" a="1"/>
  <c r="G17" i="4" s="1"/>
  <c r="F18" i="4"/>
  <c r="G18" i="4" s="1" a="1"/>
  <c r="G18" i="4" s="1"/>
  <c r="F19" i="4"/>
  <c r="G19" i="4" s="1" a="1"/>
  <c r="G19" i="4" s="1"/>
  <c r="F20" i="4"/>
  <c r="G20" i="4" s="1" a="1"/>
  <c r="G20" i="4" s="1"/>
  <c r="F21" i="4"/>
  <c r="G21" i="4" s="1" a="1"/>
  <c r="G21" i="4" s="1"/>
  <c r="F22" i="4"/>
  <c r="G22" i="4" s="1" a="1"/>
  <c r="G22" i="4" s="1"/>
  <c r="F23" i="4"/>
  <c r="G23" i="4" s="1" a="1"/>
  <c r="G23" i="4" s="1"/>
  <c r="F24" i="4"/>
  <c r="G24" i="4" s="1" a="1"/>
  <c r="G24" i="4" s="1"/>
  <c r="F25" i="4"/>
  <c r="G25" i="4" s="1" a="1"/>
  <c r="G25" i="4" s="1"/>
  <c r="F26" i="4"/>
  <c r="G26" i="4" s="1" a="1"/>
  <c r="G26" i="4" s="1"/>
  <c r="F27" i="4"/>
  <c r="G27" i="4" s="1" a="1"/>
  <c r="G27" i="4" s="1"/>
  <c r="F28" i="4"/>
  <c r="G28" i="4" s="1" a="1"/>
  <c r="G28" i="4" s="1"/>
  <c r="F29" i="4"/>
  <c r="G29" i="4" s="1" a="1"/>
  <c r="G29" i="4" s="1"/>
  <c r="F30" i="4"/>
  <c r="G30" i="4" s="1" a="1"/>
  <c r="G30" i="4" s="1"/>
  <c r="F31" i="4"/>
  <c r="G31" i="4" s="1" a="1"/>
  <c r="G31" i="4" s="1"/>
  <c r="F32" i="4"/>
  <c r="G32" i="4" s="1" a="1"/>
  <c r="G32" i="4" s="1"/>
  <c r="F33" i="4"/>
  <c r="G33" i="4" s="1" a="1"/>
  <c r="G33" i="4" s="1"/>
  <c r="F34" i="4"/>
  <c r="G34" i="4" s="1" a="1"/>
  <c r="G34" i="4" s="1"/>
  <c r="F35" i="4"/>
  <c r="G35" i="4" s="1" a="1"/>
  <c r="G35" i="4" s="1"/>
  <c r="F36" i="4"/>
  <c r="G36" i="4" s="1" a="1"/>
  <c r="G36" i="4" s="1"/>
  <c r="F37" i="4"/>
  <c r="G37" i="4" s="1" a="1"/>
  <c r="G37" i="4" s="1"/>
  <c r="F38" i="4"/>
  <c r="G38" i="4" s="1" a="1"/>
  <c r="G38" i="4" s="1"/>
  <c r="F39" i="4"/>
  <c r="G39" i="4" s="1" a="1"/>
  <c r="G39" i="4" s="1"/>
  <c r="F40" i="4"/>
  <c r="G40" i="4" s="1" a="1"/>
  <c r="G40" i="4" s="1"/>
  <c r="F41" i="4"/>
  <c r="G41" i="4" s="1" a="1"/>
  <c r="G41" i="4" s="1"/>
  <c r="F42" i="4"/>
  <c r="G42" i="4" s="1" a="1"/>
  <c r="G42" i="4" s="1"/>
  <c r="F43" i="4"/>
  <c r="G43" i="4" s="1" a="1"/>
  <c r="G43" i="4" s="1"/>
  <c r="F44" i="4"/>
  <c r="G44" i="4" s="1" a="1"/>
  <c r="G44" i="4" s="1"/>
  <c r="F45" i="4"/>
  <c r="G45" i="4" s="1" a="1"/>
  <c r="G45" i="4" s="1"/>
  <c r="F46" i="4"/>
  <c r="G46" i="4" s="1" a="1"/>
  <c r="G46" i="4" s="1"/>
  <c r="F47" i="4"/>
  <c r="G47" i="4" s="1" a="1"/>
  <c r="G47" i="4" s="1"/>
  <c r="F48" i="4"/>
  <c r="G48" i="4" s="1" a="1"/>
  <c r="G48" i="4" s="1"/>
  <c r="F49" i="4"/>
  <c r="G49" i="4" s="1" a="1"/>
  <c r="G49" i="4" s="1"/>
  <c r="F50" i="4"/>
  <c r="G50" i="4" s="1" a="1"/>
  <c r="G50" i="4" s="1"/>
  <c r="F51" i="4"/>
  <c r="G51" i="4" s="1" a="1"/>
  <c r="G51" i="4" s="1"/>
  <c r="F52" i="4"/>
  <c r="G52" i="4" s="1" a="1"/>
  <c r="G52" i="4" s="1"/>
  <c r="F53" i="4"/>
  <c r="G53" i="4" s="1" a="1"/>
  <c r="G53" i="4" s="1"/>
  <c r="F54" i="4"/>
  <c r="G54" i="4" s="1" a="1"/>
  <c r="G54" i="4" s="1"/>
  <c r="F55" i="4"/>
  <c r="G55" i="4" s="1" a="1"/>
  <c r="G55" i="4" s="1"/>
  <c r="F56" i="4"/>
  <c r="G56" i="4" s="1" a="1"/>
  <c r="G56" i="4" s="1"/>
  <c r="F57" i="4"/>
  <c r="G57" i="4" s="1" a="1"/>
  <c r="G57" i="4" s="1"/>
  <c r="F58" i="4"/>
  <c r="G58" i="4" s="1" a="1"/>
  <c r="G58" i="4" s="1"/>
  <c r="F59" i="4"/>
  <c r="G59" i="4" s="1" a="1"/>
  <c r="G59" i="4" s="1"/>
  <c r="F60" i="4"/>
  <c r="G60" i="4" s="1" a="1"/>
  <c r="G60" i="4" s="1"/>
  <c r="F61" i="4"/>
  <c r="G61" i="4" s="1" a="1"/>
  <c r="G61" i="4" s="1"/>
  <c r="F62" i="4"/>
  <c r="G62" i="4" s="1" a="1"/>
  <c r="G62" i="4" s="1"/>
  <c r="F63" i="4"/>
  <c r="G63" i="4" s="1" a="1"/>
  <c r="G63" i="4" s="1"/>
  <c r="F64" i="4"/>
  <c r="G64" i="4" s="1" a="1"/>
  <c r="G64" i="4" s="1"/>
  <c r="F65" i="4"/>
  <c r="G65" i="4" s="1" a="1"/>
  <c r="G65" i="4" s="1"/>
  <c r="F66" i="4"/>
  <c r="G66" i="4" s="1" a="1"/>
  <c r="G66" i="4" s="1"/>
  <c r="F67" i="4"/>
  <c r="G67" i="4" s="1" a="1"/>
  <c r="G67" i="4" s="1"/>
  <c r="F68" i="4"/>
  <c r="G68" i="4" s="1" a="1"/>
  <c r="G68" i="4" s="1"/>
  <c r="F69" i="4"/>
  <c r="G69" i="4" s="1" a="1"/>
  <c r="G69" i="4" s="1"/>
  <c r="F70" i="4"/>
  <c r="G70" i="4" s="1" a="1"/>
  <c r="G70" i="4" s="1"/>
  <c r="F71" i="4"/>
  <c r="G71" i="4" s="1" a="1"/>
  <c r="G71" i="4" s="1"/>
  <c r="F72" i="4"/>
  <c r="G72" i="4" s="1" a="1"/>
  <c r="G72" i="4" s="1"/>
  <c r="F73" i="4"/>
  <c r="G73" i="4" s="1" a="1"/>
  <c r="G73" i="4" s="1"/>
  <c r="F74" i="4"/>
  <c r="G74" i="4" s="1" a="1"/>
  <c r="G74" i="4" s="1"/>
  <c r="F75" i="4"/>
  <c r="G75" i="4" s="1" a="1"/>
  <c r="G75" i="4" s="1"/>
  <c r="F76" i="4"/>
  <c r="G76" i="4" s="1" a="1"/>
  <c r="G76" i="4" s="1"/>
  <c r="F77" i="4"/>
  <c r="G77" i="4" s="1" a="1"/>
  <c r="G77" i="4" s="1"/>
  <c r="F78" i="4"/>
  <c r="G78" i="4" s="1" a="1"/>
  <c r="G78" i="4" s="1"/>
  <c r="F79" i="4"/>
  <c r="G79" i="4" s="1" a="1"/>
  <c r="G79" i="4" s="1"/>
  <c r="F80" i="4"/>
  <c r="G80" i="4" s="1" a="1"/>
  <c r="G80" i="4" s="1"/>
  <c r="F81" i="4"/>
  <c r="G81" i="4" s="1" a="1"/>
  <c r="G81" i="4" s="1"/>
  <c r="F82" i="4"/>
  <c r="G82" i="4" s="1" a="1"/>
  <c r="G82" i="4" s="1"/>
  <c r="F83" i="4"/>
  <c r="G83" i="4" s="1" a="1"/>
  <c r="G83" i="4" s="1"/>
  <c r="F84" i="4"/>
  <c r="G84" i="4" s="1" a="1"/>
  <c r="G84" i="4" s="1"/>
  <c r="F85" i="4"/>
  <c r="G85" i="4" s="1" a="1"/>
  <c r="G85" i="4" s="1"/>
  <c r="F86" i="4"/>
  <c r="G86" i="4" s="1" a="1"/>
  <c r="G86" i="4" s="1"/>
  <c r="F87" i="4"/>
  <c r="G87" i="4" s="1" a="1"/>
  <c r="G87" i="4" s="1"/>
  <c r="F88" i="4"/>
  <c r="G88" i="4" s="1" a="1"/>
  <c r="G88" i="4" s="1"/>
  <c r="F89" i="4"/>
  <c r="G89" i="4" s="1" a="1"/>
  <c r="G89" i="4" s="1"/>
  <c r="F90" i="4"/>
  <c r="G90" i="4" s="1" a="1"/>
  <c r="G90" i="4" s="1"/>
  <c r="F91" i="4"/>
  <c r="G91" i="4" s="1" a="1"/>
  <c r="G91" i="4" s="1"/>
  <c r="F92" i="4"/>
  <c r="G92" i="4" s="1" a="1"/>
  <c r="G92" i="4" s="1"/>
  <c r="F93" i="4"/>
  <c r="G93" i="4" s="1" a="1"/>
  <c r="G93" i="4" s="1"/>
  <c r="F94" i="4"/>
  <c r="G94" i="4" s="1" a="1"/>
  <c r="G94" i="4" s="1"/>
  <c r="F95" i="4"/>
  <c r="G95" i="4" s="1" a="1"/>
  <c r="G95" i="4" s="1"/>
  <c r="F96" i="4"/>
  <c r="G96" i="4" s="1" a="1"/>
  <c r="G96" i="4" s="1"/>
  <c r="F97" i="4"/>
  <c r="G97" i="4" s="1" a="1"/>
  <c r="G97" i="4" s="1"/>
  <c r="F98" i="4"/>
  <c r="G98" i="4" s="1" a="1"/>
  <c r="G98" i="4" s="1"/>
  <c r="F99" i="4"/>
  <c r="G99" i="4" s="1" a="1"/>
  <c r="G99" i="4" s="1"/>
  <c r="F100" i="4"/>
  <c r="G100" i="4" s="1" a="1"/>
  <c r="G100" i="4" s="1"/>
  <c r="F101" i="4"/>
  <c r="G101" i="4" s="1" a="1"/>
  <c r="G101" i="4" s="1"/>
  <c r="F102" i="4"/>
  <c r="G102" i="4" s="1" a="1"/>
  <c r="G102" i="4" s="1"/>
  <c r="F103" i="4"/>
  <c r="G103" i="4" s="1" a="1"/>
  <c r="G103" i="4" s="1"/>
  <c r="F104" i="4"/>
  <c r="G104" i="4" s="1" a="1"/>
  <c r="G104" i="4" s="1"/>
  <c r="F105" i="4"/>
  <c r="G105" i="4" s="1" a="1"/>
  <c r="G105" i="4" s="1"/>
  <c r="F106" i="4"/>
  <c r="G106" i="4" s="1" a="1"/>
  <c r="G106" i="4" s="1"/>
  <c r="F107" i="4"/>
  <c r="G107" i="4" s="1" a="1"/>
  <c r="G107" i="4" s="1"/>
  <c r="F108" i="4"/>
  <c r="G108" i="4" s="1" a="1"/>
  <c r="G108" i="4" s="1"/>
  <c r="F109" i="4"/>
  <c r="G109" i="4" s="1" a="1"/>
  <c r="G109" i="4" s="1"/>
  <c r="F110" i="4"/>
  <c r="G110" i="4" s="1" a="1"/>
  <c r="G110" i="4" s="1"/>
  <c r="F111" i="4"/>
  <c r="G111" i="4" s="1" a="1"/>
  <c r="G111" i="4" s="1"/>
  <c r="F112" i="4"/>
  <c r="G112" i="4" s="1" a="1"/>
  <c r="G112" i="4" s="1"/>
  <c r="F113" i="4"/>
  <c r="G113" i="4" s="1" a="1"/>
  <c r="G113" i="4" s="1"/>
  <c r="F114" i="4"/>
  <c r="G114" i="4" s="1" a="1"/>
  <c r="G114" i="4" s="1"/>
  <c r="F115" i="4"/>
  <c r="G115" i="4" s="1" a="1"/>
  <c r="G115" i="4" s="1"/>
  <c r="F116" i="4"/>
  <c r="G116" i="4" s="1" a="1"/>
  <c r="G116" i="4" s="1"/>
  <c r="F117" i="4"/>
  <c r="G117" i="4" s="1" a="1"/>
  <c r="G117" i="4" s="1"/>
  <c r="F118" i="4"/>
  <c r="G118" i="4" s="1" a="1"/>
  <c r="G118" i="4" s="1"/>
  <c r="F119" i="4"/>
  <c r="G119" i="4" s="1" a="1"/>
  <c r="G119" i="4" s="1"/>
  <c r="F120" i="4"/>
  <c r="G120" i="4" s="1" a="1"/>
  <c r="G120" i="4" s="1"/>
  <c r="F121" i="4"/>
  <c r="G121" i="4" s="1" a="1"/>
  <c r="G121" i="4" s="1"/>
  <c r="F122" i="4"/>
  <c r="G122" i="4" s="1" a="1"/>
  <c r="G122" i="4" s="1"/>
  <c r="F123" i="4"/>
  <c r="G123" i="4" s="1" a="1"/>
  <c r="G123" i="4" s="1"/>
  <c r="F124" i="4"/>
  <c r="G124" i="4" s="1" a="1"/>
  <c r="G124" i="4" s="1"/>
  <c r="F125" i="4"/>
  <c r="G125" i="4" s="1" a="1"/>
  <c r="G125" i="4" s="1"/>
  <c r="F126" i="4"/>
  <c r="G126" i="4" s="1" a="1"/>
  <c r="G126" i="4" s="1"/>
  <c r="F127" i="4"/>
  <c r="G127" i="4" s="1" a="1"/>
  <c r="G127" i="4" s="1"/>
  <c r="F128" i="4"/>
  <c r="G128" i="4" s="1" a="1"/>
  <c r="G128" i="4" s="1"/>
  <c r="F129" i="4"/>
  <c r="G129" i="4" s="1" a="1"/>
  <c r="G129" i="4" s="1"/>
  <c r="F130" i="4"/>
  <c r="G130" i="4" s="1" a="1"/>
  <c r="G130" i="4" s="1"/>
  <c r="F131" i="4"/>
  <c r="G131" i="4" s="1" a="1"/>
  <c r="G131" i="4" s="1"/>
  <c r="F132" i="4"/>
  <c r="G132" i="4" s="1" a="1"/>
  <c r="G132" i="4" s="1"/>
  <c r="F133" i="4"/>
  <c r="G133" i="4" s="1" a="1"/>
  <c r="G133" i="4" s="1"/>
  <c r="F134" i="4"/>
  <c r="G134" i="4" s="1" a="1"/>
  <c r="G134" i="4" s="1"/>
  <c r="F135" i="4"/>
  <c r="G135" i="4" s="1" a="1"/>
  <c r="G135" i="4" s="1"/>
  <c r="F136" i="4"/>
  <c r="G136" i="4" s="1" a="1"/>
  <c r="G136" i="4" s="1"/>
  <c r="F137" i="4"/>
  <c r="G137" i="4" s="1" a="1"/>
  <c r="G137" i="4" s="1"/>
  <c r="F138" i="4"/>
  <c r="G138" i="4" s="1" a="1"/>
  <c r="G138" i="4" s="1"/>
  <c r="F139" i="4"/>
  <c r="G139" i="4" s="1" a="1"/>
  <c r="G139" i="4" s="1"/>
  <c r="F140" i="4"/>
  <c r="G140" i="4" s="1" a="1"/>
  <c r="G140" i="4" s="1"/>
  <c r="F141" i="4"/>
  <c r="G141" i="4" s="1" a="1"/>
  <c r="G141" i="4" s="1"/>
  <c r="F142" i="4"/>
  <c r="G142" i="4" s="1" a="1"/>
  <c r="G142" i="4" s="1"/>
  <c r="F143" i="4"/>
  <c r="G143" i="4" s="1" a="1"/>
  <c r="G143" i="4" s="1"/>
  <c r="F144" i="4"/>
  <c r="G144" i="4" s="1" a="1"/>
  <c r="G144" i="4" s="1"/>
  <c r="F145" i="4"/>
  <c r="G145" i="4" s="1" a="1"/>
  <c r="G145" i="4" s="1"/>
  <c r="F146" i="4"/>
  <c r="G146" i="4" s="1" a="1"/>
  <c r="G146" i="4" s="1"/>
  <c r="F147" i="4"/>
  <c r="G147" i="4" s="1" a="1"/>
  <c r="G147" i="4" s="1"/>
  <c r="F148" i="4"/>
  <c r="G148" i="4" s="1" a="1"/>
  <c r="G148" i="4" s="1"/>
  <c r="F149" i="4"/>
  <c r="G149" i="4" s="1" a="1"/>
  <c r="G149" i="4" s="1"/>
  <c r="F150" i="4"/>
  <c r="G150" i="4" s="1" a="1"/>
  <c r="G150" i="4" s="1"/>
  <c r="F151" i="4"/>
  <c r="G151" i="4" s="1" a="1"/>
  <c r="G151" i="4" s="1"/>
  <c r="F152" i="4"/>
  <c r="G152" i="4" s="1" a="1"/>
  <c r="G152" i="4" s="1"/>
  <c r="F153" i="4"/>
  <c r="G153" i="4" s="1" a="1"/>
  <c r="G153" i="4" s="1"/>
  <c r="F154" i="4"/>
  <c r="G154" i="4" s="1" a="1"/>
  <c r="G154" i="4" s="1"/>
  <c r="F155" i="4"/>
  <c r="G155" i="4" s="1" a="1"/>
  <c r="G155" i="4" s="1"/>
  <c r="F156" i="4"/>
  <c r="G156" i="4" s="1" a="1"/>
  <c r="G156" i="4" s="1"/>
  <c r="F157" i="4"/>
  <c r="G157" i="4" s="1" a="1"/>
  <c r="G157" i="4" s="1"/>
  <c r="F158" i="4"/>
  <c r="G158" i="4" s="1" a="1"/>
  <c r="G158" i="4" s="1"/>
  <c r="F159" i="4"/>
  <c r="G159" i="4" s="1" a="1"/>
  <c r="G159" i="4" s="1"/>
  <c r="F160" i="4"/>
  <c r="G160" i="4" s="1" a="1"/>
  <c r="G160" i="4" s="1"/>
  <c r="F161" i="4"/>
  <c r="G161" i="4" s="1" a="1"/>
  <c r="G161" i="4" s="1"/>
  <c r="F162" i="4"/>
  <c r="G162" i="4" s="1" a="1"/>
  <c r="G162" i="4" s="1"/>
  <c r="F163" i="4"/>
  <c r="G163" i="4" s="1" a="1"/>
  <c r="G163" i="4" s="1"/>
  <c r="F164" i="4"/>
  <c r="G164" i="4" s="1" a="1"/>
  <c r="G164" i="4" s="1"/>
  <c r="F165" i="4"/>
  <c r="G165" i="4" s="1" a="1"/>
  <c r="G165" i="4" s="1"/>
  <c r="F166" i="4"/>
  <c r="G166" i="4" s="1" a="1"/>
  <c r="G166" i="4" s="1"/>
  <c r="F167" i="4"/>
  <c r="G167" i="4" s="1" a="1"/>
  <c r="G167" i="4" s="1"/>
  <c r="F168" i="4"/>
  <c r="G168" i="4" s="1" a="1"/>
  <c r="G168" i="4" s="1"/>
  <c r="F169" i="4"/>
  <c r="G169" i="4" s="1" a="1"/>
  <c r="G169" i="4" s="1"/>
  <c r="F170" i="4"/>
  <c r="G170" i="4" s="1" a="1"/>
  <c r="G170" i="4" s="1"/>
  <c r="F171" i="4"/>
  <c r="G171" i="4" s="1" a="1"/>
  <c r="G171" i="4" s="1"/>
  <c r="F172" i="4"/>
  <c r="G172" i="4" s="1" a="1"/>
  <c r="G172" i="4" s="1"/>
  <c r="F173" i="4"/>
  <c r="G173" i="4" s="1" a="1"/>
  <c r="G173" i="4" s="1"/>
  <c r="F174" i="4"/>
  <c r="G174" i="4" s="1" a="1"/>
  <c r="G174" i="4" s="1"/>
  <c r="F175" i="4"/>
  <c r="G175" i="4" s="1" a="1"/>
  <c r="G175" i="4" s="1"/>
  <c r="F176" i="4"/>
  <c r="G176" i="4" s="1" a="1"/>
  <c r="G176" i="4" s="1"/>
  <c r="F177" i="4"/>
  <c r="G177" i="4" s="1" a="1"/>
  <c r="G177" i="4" s="1"/>
  <c r="F178" i="4"/>
  <c r="G178" i="4" s="1" a="1"/>
  <c r="G178" i="4" s="1"/>
  <c r="F179" i="4"/>
  <c r="G179" i="4" s="1" a="1"/>
  <c r="G179" i="4" s="1"/>
  <c r="F180" i="4"/>
  <c r="G180" i="4" s="1" a="1"/>
  <c r="G180" i="4" s="1"/>
  <c r="F181" i="4"/>
  <c r="G181" i="4" s="1" a="1"/>
  <c r="G181" i="4" s="1"/>
  <c r="F182" i="4"/>
  <c r="G182" i="4" s="1" a="1"/>
  <c r="G182" i="4" s="1"/>
  <c r="F183" i="4"/>
  <c r="G183" i="4" s="1" a="1"/>
  <c r="G183" i="4" s="1"/>
  <c r="F184" i="4"/>
  <c r="G184" i="4" s="1" a="1"/>
  <c r="G184" i="4" s="1"/>
  <c r="F185" i="4"/>
  <c r="G185" i="4" s="1" a="1"/>
  <c r="G185" i="4" s="1"/>
  <c r="F186" i="4"/>
  <c r="G186" i="4" s="1" a="1"/>
  <c r="G186" i="4" s="1"/>
  <c r="F187" i="4"/>
  <c r="G187" i="4" s="1" a="1"/>
  <c r="G187" i="4" s="1"/>
  <c r="F188" i="4"/>
  <c r="G188" i="4" s="1" a="1"/>
  <c r="G188" i="4" s="1"/>
  <c r="F189" i="4"/>
  <c r="G189" i="4" s="1" a="1"/>
  <c r="G189" i="4" s="1"/>
  <c r="F190" i="4"/>
  <c r="G190" i="4" s="1" a="1"/>
  <c r="G190" i="4" s="1"/>
  <c r="F191" i="4"/>
  <c r="G191" i="4" s="1" a="1"/>
  <c r="G191" i="4" s="1"/>
  <c r="F192" i="4"/>
  <c r="G192" i="4" s="1" a="1"/>
  <c r="G192" i="4" s="1"/>
  <c r="F193" i="4"/>
  <c r="G193" i="4" s="1" a="1"/>
  <c r="G193" i="4" s="1"/>
  <c r="F194" i="4"/>
  <c r="G194" i="4" s="1" a="1"/>
  <c r="G194" i="4" s="1"/>
  <c r="F195" i="4"/>
  <c r="G195" i="4" s="1" a="1"/>
  <c r="G195" i="4" s="1"/>
  <c r="F196" i="4"/>
  <c r="G196" i="4" s="1" a="1"/>
  <c r="G196" i="4" s="1"/>
  <c r="F197" i="4"/>
  <c r="G197" i="4" s="1" a="1"/>
  <c r="G197" i="4" s="1"/>
  <c r="F198" i="4"/>
  <c r="G198" i="4" s="1" a="1"/>
  <c r="G198" i="4" s="1"/>
  <c r="F199" i="4"/>
  <c r="G199" i="4" s="1" a="1"/>
  <c r="G199" i="4" s="1"/>
  <c r="F200" i="4"/>
  <c r="G200" i="4" s="1" a="1"/>
  <c r="G200" i="4" s="1"/>
  <c r="F201" i="4"/>
  <c r="G201" i="4" s="1" a="1"/>
  <c r="G201" i="4" s="1"/>
  <c r="F2" i="4"/>
  <c r="G2" i="4" s="1" a="1"/>
  <c r="G2" i="4" s="1"/>
  <c r="E3" i="3" a="1"/>
  <c r="E3" i="3"/>
  <c r="E5" i="3" a="1"/>
  <c r="E5" i="3"/>
  <c r="E6" i="3" a="1"/>
  <c r="E6" i="3"/>
  <c r="E7" i="3" a="1"/>
  <c r="E7" i="3"/>
  <c r="E2" i="3" a="1"/>
  <c r="E2" i="3"/>
  <c r="E4" i="3" a="1"/>
  <c r="E4" i="3" s="1"/>
  <c r="B5" i="3"/>
  <c r="B3" i="3"/>
  <c r="B4" i="3"/>
  <c r="B6" i="3"/>
  <c r="B7" i="3"/>
  <c r="B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/>
  <c r="G2" i="1" a="1"/>
  <c r="G2" i="1"/>
  <c r="D2" i="9" l="1"/>
  <c r="D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<sst xmlns="http://schemas.openxmlformats.org/spreadsheetml/2006/main" count="582" uniqueCount="307">
  <si>
    <t>Total Revenue</t>
  </si>
  <si>
    <t>Total Bonus Payout</t>
  </si>
  <si>
    <t>Top MR</t>
  </si>
  <si>
    <t>Key Opinion Leaders</t>
  </si>
  <si>
    <t>Overall Achievement</t>
  </si>
  <si>
    <t>segment</t>
  </si>
  <si>
    <t>Count of doctor_id</t>
  </si>
  <si>
    <t>High Value</t>
  </si>
  <si>
    <t>Key Opinion Leader</t>
  </si>
  <si>
    <t>Low Engagement</t>
  </si>
  <si>
    <t>Standard</t>
  </si>
  <si>
    <t>Grand Total</t>
  </si>
  <si>
    <t>Select MR Name:</t>
  </si>
  <si>
    <t>Jennifer Hancock</t>
  </si>
  <si>
    <t>Current Territory:</t>
  </si>
  <si>
    <t>Hypothetical Revenue:</t>
  </si>
  <si>
    <t>Projected Tier:</t>
  </si>
  <si>
    <t>Projected Bonus:</t>
  </si>
  <si>
    <t>territory</t>
  </si>
  <si>
    <t>actual_revenue</t>
  </si>
  <si>
    <t>target_revenue</t>
  </si>
  <si>
    <t>achievement_pct</t>
  </si>
  <si>
    <t>status</t>
  </si>
  <si>
    <t>North Zone</t>
  </si>
  <si>
    <t>South Zone</t>
  </si>
  <si>
    <t>East Zone</t>
  </si>
  <si>
    <t>West Zone</t>
  </si>
  <si>
    <t>Central Zone</t>
  </si>
  <si>
    <t>North-East Zone</t>
  </si>
  <si>
    <t>doctor_id</t>
  </si>
  <si>
    <t>doctor_name</t>
  </si>
  <si>
    <t>specialization</t>
  </si>
  <si>
    <t>total_orders</t>
  </si>
  <si>
    <t>total_revenue_generated</t>
  </si>
  <si>
    <t>percentile_rank</t>
  </si>
  <si>
    <t>Dr. Dana Jennings</t>
  </si>
  <si>
    <t>Pulmonologist</t>
  </si>
  <si>
    <t>Dr. Jamie Robertson</t>
  </si>
  <si>
    <t>General Physician</t>
  </si>
  <si>
    <t>Dr. Timothy Reynolds</t>
  </si>
  <si>
    <t>Dr. William Gutierrez</t>
  </si>
  <si>
    <t>Dr. Donna Watson</t>
  </si>
  <si>
    <t>Endocrinologist</t>
  </si>
  <si>
    <t>Dr. David Williams</t>
  </si>
  <si>
    <t>Dr. Michael Peterson</t>
  </si>
  <si>
    <t>Dr. Kevin Benson</t>
  </si>
  <si>
    <t>Dr. Trevor Ross</t>
  </si>
  <si>
    <t>Cardiologist</t>
  </si>
  <si>
    <t>Dr. Laurie Pierce</t>
  </si>
  <si>
    <t>Orthopedic</t>
  </si>
  <si>
    <t>Dr. Robin Brock</t>
  </si>
  <si>
    <t>Neurologist</t>
  </si>
  <si>
    <t>Dr. Mary Snow</t>
  </si>
  <si>
    <t>Dr. Danielle Rodriguez</t>
  </si>
  <si>
    <t>Dr. Kyle Kaiser</t>
  </si>
  <si>
    <t>Dr. Craig Harris</t>
  </si>
  <si>
    <t>Dr. Hannah Campbell</t>
  </si>
  <si>
    <t>Dr. Perry Black</t>
  </si>
  <si>
    <t>Dr. Jenna Ramsey</t>
  </si>
  <si>
    <t>Dr. Michelle Johnson</t>
  </si>
  <si>
    <t>Dermatologist</t>
  </si>
  <si>
    <t>Dr. Amanda Rose MD</t>
  </si>
  <si>
    <t>Dr. Shane Greene</t>
  </si>
  <si>
    <t>Dr. Marc Glenn</t>
  </si>
  <si>
    <t>Dr. Ronald Young</t>
  </si>
  <si>
    <t>Dr. Jean Brown</t>
  </si>
  <si>
    <t>Dr. Wyatt Cortez</t>
  </si>
  <si>
    <t>Dr. Amanda Lloyd</t>
  </si>
  <si>
    <t>Dr. Brandy Moreno</t>
  </si>
  <si>
    <t>Dr. Laura Garner</t>
  </si>
  <si>
    <t>Dr. Robert Gomez</t>
  </si>
  <si>
    <t>Dr. Kevin Lee</t>
  </si>
  <si>
    <t>Dr. Eric Howe</t>
  </si>
  <si>
    <t>Dr. Scott Pineda</t>
  </si>
  <si>
    <t>Dr. Jennifer Snow</t>
  </si>
  <si>
    <t>Dr. Stephen Wolf</t>
  </si>
  <si>
    <t>Dr. Terri Roberts</t>
  </si>
  <si>
    <t>Dr. Shannon Turner</t>
  </si>
  <si>
    <t>Dr. Cody Mccoy</t>
  </si>
  <si>
    <t>Dr. William Morse</t>
  </si>
  <si>
    <t>Dr. Sherri Gray</t>
  </si>
  <si>
    <t>Dr. Scott Bond</t>
  </si>
  <si>
    <t>Dr. David Anderson</t>
  </si>
  <si>
    <t>Dr. Lauren James</t>
  </si>
  <si>
    <t>Dr. Andrea Bass</t>
  </si>
  <si>
    <t>Dr. Gabriel Jones</t>
  </si>
  <si>
    <t>Dr. Rebecca Nicholson</t>
  </si>
  <si>
    <t>Dr. Bobby Walker</t>
  </si>
  <si>
    <t>Dr. Joshua Wilson</t>
  </si>
  <si>
    <t>Dr. Charles Moore</t>
  </si>
  <si>
    <t>Dr. Samuel Powers</t>
  </si>
  <si>
    <t>Dr. Darren Hall</t>
  </si>
  <si>
    <t>Dr. Michael Cardenas</t>
  </si>
  <si>
    <t>Dr. Glenn Lawrence</t>
  </si>
  <si>
    <t>Dr. Valerie Jensen</t>
  </si>
  <si>
    <t>Dr. Dennis Turner</t>
  </si>
  <si>
    <t>Dr. Mary Cruz</t>
  </si>
  <si>
    <t>Dr. Olivia Herrera MD</t>
  </si>
  <si>
    <t>Dr. Paul Oconnor</t>
  </si>
  <si>
    <t>Dr. Lisa Michael</t>
  </si>
  <si>
    <t>Dr. Phillip Lowery</t>
  </si>
  <si>
    <t>Dr. Virginia Watson</t>
  </si>
  <si>
    <t>Dr. Paul Duarte</t>
  </si>
  <si>
    <t>Dr. Travis Hernandez</t>
  </si>
  <si>
    <t>Dr. Amber Ross</t>
  </si>
  <si>
    <t>Dr. Felicia Vargas</t>
  </si>
  <si>
    <t>Dr. Morgan Boone</t>
  </si>
  <si>
    <t>Dr. Jessica Chang</t>
  </si>
  <si>
    <t>Dr. Kent Freeman</t>
  </si>
  <si>
    <t>Dr. Timothy French</t>
  </si>
  <si>
    <t>Dr. Eric Giles</t>
  </si>
  <si>
    <t>Dr. Cynthia Anderson</t>
  </si>
  <si>
    <t>Dr. Jocelyn Charles</t>
  </si>
  <si>
    <t>Dr. Christian Shelton</t>
  </si>
  <si>
    <t>Dr. Isaac Smith</t>
  </si>
  <si>
    <t>Dr. Jose Crawford</t>
  </si>
  <si>
    <t>Dr. Brady Padilla</t>
  </si>
  <si>
    <t>Dr. Andrew Hahn</t>
  </si>
  <si>
    <t>Dr. Randy Warner</t>
  </si>
  <si>
    <t>Dr. Ashley Miller</t>
  </si>
  <si>
    <t>Dr. Robin Mora</t>
  </si>
  <si>
    <t>Dr. David Wise</t>
  </si>
  <si>
    <t>Dr. Abigail Miller</t>
  </si>
  <si>
    <t>Dr. Thomas Nelson</t>
  </si>
  <si>
    <t>Dr. Matthew Sullivan</t>
  </si>
  <si>
    <t>Dr. Shelby Gentry</t>
  </si>
  <si>
    <t>Dr. Frank Arnold</t>
  </si>
  <si>
    <t>Dr. Emily Rush</t>
  </si>
  <si>
    <t>Dr. Brian Singh</t>
  </si>
  <si>
    <t>Dr. April Collins</t>
  </si>
  <si>
    <t>Dr. Alexander Ferguson</t>
  </si>
  <si>
    <t>Dr. Laurie White</t>
  </si>
  <si>
    <t>Dr. John Elliott</t>
  </si>
  <si>
    <t>Dr. Justin Cruz</t>
  </si>
  <si>
    <t>Dr. Connie Miller</t>
  </si>
  <si>
    <t>Dr. Jasmine Chavez</t>
  </si>
  <si>
    <t>Dr. Benjamin Powell</t>
  </si>
  <si>
    <t>Dr. Jordan Adams</t>
  </si>
  <si>
    <t>Dr. Ashley Holt</t>
  </si>
  <si>
    <t>Dr. Stanley Martinez</t>
  </si>
  <si>
    <t>Dr. Sandra Haney</t>
  </si>
  <si>
    <t>Dr. Joel Murray</t>
  </si>
  <si>
    <t>Dr. Annette Weaver</t>
  </si>
  <si>
    <t>Dr. Edward Duffy</t>
  </si>
  <si>
    <t>Dr. Kevin Thomas</t>
  </si>
  <si>
    <t>Dr. Heather Meadows</t>
  </si>
  <si>
    <t>Dr. Kayla Taylor</t>
  </si>
  <si>
    <t>Dr. Melissa Henderson</t>
  </si>
  <si>
    <t>Dr. Jessica Mcgee</t>
  </si>
  <si>
    <t>Dr. Justin King</t>
  </si>
  <si>
    <t>Dr. Frank Foster</t>
  </si>
  <si>
    <t>Dr. Rebecca Roman</t>
  </si>
  <si>
    <t>Dr. Brian Pacheco</t>
  </si>
  <si>
    <t>Dr. Samantha Ford</t>
  </si>
  <si>
    <t>Dr. John Andrews</t>
  </si>
  <si>
    <t>Dr. Patricia Tucker</t>
  </si>
  <si>
    <t>Dr. Gabrielle Johnson</t>
  </si>
  <si>
    <t>Dr. Ashley Campbell</t>
  </si>
  <si>
    <t>Dr. Amber Burns</t>
  </si>
  <si>
    <t>Dr. Charles Lloyd</t>
  </si>
  <si>
    <t>Dr. Joseph Russell</t>
  </si>
  <si>
    <t>Dr. Michelle Gross</t>
  </si>
  <si>
    <t>Dr. David Jones</t>
  </si>
  <si>
    <t>Dr. Kelly Smith</t>
  </si>
  <si>
    <t>Dr. Timothy Jordan</t>
  </si>
  <si>
    <t>Dr. Cindy Bradley MD</t>
  </si>
  <si>
    <t>Dr. April Graham</t>
  </si>
  <si>
    <t>Dr. Brent Lewis</t>
  </si>
  <si>
    <t>Dr. Bobby Mullen</t>
  </si>
  <si>
    <t>Dr. Michael Ritter</t>
  </si>
  <si>
    <t>Dr. Michelle Moore</t>
  </si>
  <si>
    <t>Dr. Veronica Lewis</t>
  </si>
  <si>
    <t>Dr. Jessica Berry</t>
  </si>
  <si>
    <t>Dr. Frank Munoz</t>
  </si>
  <si>
    <t>Dr. Mary Fisher</t>
  </si>
  <si>
    <t>Dr. Mr. Michael Garcia</t>
  </si>
  <si>
    <t>Dr. Brian Phillips</t>
  </si>
  <si>
    <t>Dr. Anthony Garrett</t>
  </si>
  <si>
    <t>Dr. Gary Russell</t>
  </si>
  <si>
    <t>Dr. Ryan Morales</t>
  </si>
  <si>
    <t>Dr. Mr. Samuel Thomas</t>
  </si>
  <si>
    <t>Dr. Maria Ward</t>
  </si>
  <si>
    <t>Dr. Cathy Miller</t>
  </si>
  <si>
    <t>Dr. Ricky Campbell</t>
  </si>
  <si>
    <t>Dr. Amy Johnson</t>
  </si>
  <si>
    <t>Dr. Mark Spencer</t>
  </si>
  <si>
    <t>Dr. Mrs. Valerie Ramirez</t>
  </si>
  <si>
    <t>Dr. Mark Wallace</t>
  </si>
  <si>
    <t>Dr. Crystal Duke</t>
  </si>
  <si>
    <t>Dr. Christopher Blake</t>
  </si>
  <si>
    <t>Dr. Tyler Welch</t>
  </si>
  <si>
    <t>Dr. Lauren Stone</t>
  </si>
  <si>
    <t>Dr. Patricia Brown</t>
  </si>
  <si>
    <t>Dr. Paula Roberts</t>
  </si>
  <si>
    <t>Dr. Matthew Greene</t>
  </si>
  <si>
    <t>Dr. Emily Crawford</t>
  </si>
  <si>
    <t>Dr. Judy Lewis</t>
  </si>
  <si>
    <t>Dr. Justin Rodriguez DDS</t>
  </si>
  <si>
    <t>Dr. Dylan Brown</t>
  </si>
  <si>
    <t>Dr. Morgan Greene</t>
  </si>
  <si>
    <t>Dr. Lynn Brown</t>
  </si>
  <si>
    <t>Dr. Corey Clark</t>
  </si>
  <si>
    <t>Dr. Shannon Booker</t>
  </si>
  <si>
    <t>Dr. Elizabeth Cunningham</t>
  </si>
  <si>
    <t>Dr. Alexander Terry</t>
  </si>
  <si>
    <t>Dr. Justin Garcia</t>
  </si>
  <si>
    <t>Dr. Alexander Weeks</t>
  </si>
  <si>
    <t>Dr. Donald Sanchez</t>
  </si>
  <si>
    <t>Dr. Justin Williams</t>
  </si>
  <si>
    <t>Dr. Brett Obrien</t>
  </si>
  <si>
    <t>Dr. Keith Nixon</t>
  </si>
  <si>
    <t>Dr. Mary Reyes</t>
  </si>
  <si>
    <t>Dr. Thomas Rosales</t>
  </si>
  <si>
    <t>Dr. Travis Hubbard</t>
  </si>
  <si>
    <t>Dr. Denise Gonzalez</t>
  </si>
  <si>
    <t>Dr. Mary Brady</t>
  </si>
  <si>
    <t>Dr. Shawn Torres</t>
  </si>
  <si>
    <t>Dr. Hector Williams</t>
  </si>
  <si>
    <t>Dr. Troy Aguilar</t>
  </si>
  <si>
    <t>Dr. Molly Ortiz</t>
  </si>
  <si>
    <t>Dr. Bradley Taylor</t>
  </si>
  <si>
    <t>Dr. Jody Phillips</t>
  </si>
  <si>
    <t>Dr. Kathy Mcgee</t>
  </si>
  <si>
    <t>Dr. Brenda Brooks</t>
  </si>
  <si>
    <t>Dr. Luke Carpenter</t>
  </si>
  <si>
    <t>Dr. Matthew Alvarez</t>
  </si>
  <si>
    <t>Dr. John Garcia</t>
  </si>
  <si>
    <t>Dr. Albert Black</t>
  </si>
  <si>
    <t>Dr. Joseph Smith</t>
  </si>
  <si>
    <t>Dr. Mr. Jonathan Garcia</t>
  </si>
  <si>
    <t>Dr. Jaime Oneill</t>
  </si>
  <si>
    <t>Dr. Andrew Moore</t>
  </si>
  <si>
    <t>Dr. Kristin Bailey</t>
  </si>
  <si>
    <t>Dr. Nathan Hickman Jr.</t>
  </si>
  <si>
    <t>Dr. Nicole Collins</t>
  </si>
  <si>
    <t>Dr. William Greene</t>
  </si>
  <si>
    <t>Dr. Joseph Mendoza</t>
  </si>
  <si>
    <t>Dr. Scott Khan</t>
  </si>
  <si>
    <t>Dr. John Molina</t>
  </si>
  <si>
    <t>Dr. Lindsey Wright</t>
  </si>
  <si>
    <t>performance_tier</t>
  </si>
  <si>
    <t>Sum of bonus_payout</t>
  </si>
  <si>
    <t>Count of mr_id</t>
  </si>
  <si>
    <t>Bronze</t>
  </si>
  <si>
    <t>Gold</t>
  </si>
  <si>
    <t>Platinum</t>
  </si>
  <si>
    <t>Silver</t>
  </si>
  <si>
    <t>mr_id</t>
  </si>
  <si>
    <t>mr_name</t>
  </si>
  <si>
    <t>total_transactions</t>
  </si>
  <si>
    <t>avg_revenue_per_sale</t>
  </si>
  <si>
    <t>bonus_payout</t>
  </si>
  <si>
    <t>tier</t>
  </si>
  <si>
    <t>bonus_rate</t>
  </si>
  <si>
    <t>Sean Fisher DVM</t>
  </si>
  <si>
    <t>bronze</t>
  </si>
  <si>
    <t>Monica Collins</t>
  </si>
  <si>
    <t>silver</t>
  </si>
  <si>
    <t>Christopher Ryan</t>
  </si>
  <si>
    <t>gold</t>
  </si>
  <si>
    <t>Haley Smith</t>
  </si>
  <si>
    <t>platinum</t>
  </si>
  <si>
    <t>Courtney Bryant</t>
  </si>
  <si>
    <t>David Collins</t>
  </si>
  <si>
    <t>Steven Shelton</t>
  </si>
  <si>
    <t>Tonya Holland</t>
  </si>
  <si>
    <t>Marc Watson</t>
  </si>
  <si>
    <t>Mr. Travis Nguyen</t>
  </si>
  <si>
    <t>Thomas Ross</t>
  </si>
  <si>
    <t>Christian Holland</t>
  </si>
  <si>
    <t>Michele Stewart</t>
  </si>
  <si>
    <t>Madison Boyd</t>
  </si>
  <si>
    <t>Melissa Thompson</t>
  </si>
  <si>
    <t>Rebecca Robinson</t>
  </si>
  <si>
    <t>Rebecca Miller</t>
  </si>
  <si>
    <t>Christian Johnson</t>
  </si>
  <si>
    <t>Thomas Harmon</t>
  </si>
  <si>
    <t>Bonnie Hall</t>
  </si>
  <si>
    <t>Laurie Ramirez</t>
  </si>
  <si>
    <t>Meghan Hernandez</t>
  </si>
  <si>
    <t>Melinda Buck</t>
  </si>
  <si>
    <t>James Vasquez</t>
  </si>
  <si>
    <t>Carlos Davis</t>
  </si>
  <si>
    <t>Dr. Tyler Adams DVM</t>
  </si>
  <si>
    <t>Samantha Garcia</t>
  </si>
  <si>
    <t>Michelle Mitchell</t>
  </si>
  <si>
    <t>Brooke Allen</t>
  </si>
  <si>
    <t>Teresa Townsend</t>
  </si>
  <si>
    <t>Nicole Navarro</t>
  </si>
  <si>
    <t>Jennifer Pruitt</t>
  </si>
  <si>
    <t>Charles Gordon</t>
  </si>
  <si>
    <t>Briana Hart</t>
  </si>
  <si>
    <t>Debra Greer</t>
  </si>
  <si>
    <t>Victoria Nelson</t>
  </si>
  <si>
    <t>Kelly Brooks</t>
  </si>
  <si>
    <t>Timothy Hall</t>
  </si>
  <si>
    <t>Roberta Adams</t>
  </si>
  <si>
    <t>Edward Alvarez</t>
  </si>
  <si>
    <t>Sarah Short</t>
  </si>
  <si>
    <t>Richard Lawrence</t>
  </si>
  <si>
    <t>Crystal Larson</t>
  </si>
  <si>
    <t>Craig Blanchard</t>
  </si>
  <si>
    <t>Kurt Clarke</t>
  </si>
  <si>
    <t>Theresa Long</t>
  </si>
  <si>
    <t>Wesley Brown</t>
  </si>
  <si>
    <t>Michael Goodwin</t>
  </si>
  <si>
    <t>Cynthia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</si>
</sst>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₹-4009]\ #,##0"/>
    <numFmt numFmtId="165" formatCode="\₹#,###.0,,\ &quot;Cr&quot;"/>
    <numFmt numFmtId="166" formatCode="\₹#,###,,\ &quot;Cr&quot;"/>
    <numFmt numFmtId="167" formatCode="\₹#,###.00,,\ &quot;Cr&quot;"/>
    <numFmt numFmtId="168" formatCode="0.0%"/>
  </numFmts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Fill="1" applyBorder="1" applyAlignment="1"/>
    <xf numFmtId="0" fontId="0" fillId="0" borderId="0" xfId="0" pivotButton="1"/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3" xfId="0" applyFont="1" applyFill="1" applyBorder="1"/>
    <xf numFmtId="0" fontId="4" fillId="2" borderId="6" xfId="0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5" fontId="0" fillId="0" borderId="0" xfId="0" applyNumberFormat="1"/>
    <xf numFmtId="166" fontId="1" fillId="0" borderId="0" xfId="0" applyNumberFormat="1" applyFont="1" applyFill="1" applyBorder="1" applyAlignment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168" fontId="4" fillId="2" borderId="2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/>
    <xf numFmtId="168" fontId="0" fillId="0" borderId="0" xfId="0" applyNumberFormat="1"/>
    <xf numFmtId="0" fontId="5" fillId="3" borderId="0" xfId="0" applyFont="1" applyFill="1" applyBorder="1" applyAlignment="1"/>
    <xf numFmtId="164" fontId="5" fillId="3" borderId="0" xfId="0" applyNumberFormat="1" applyFont="1" applyFill="1" applyBorder="1" applyAlignment="1"/>
    <xf numFmtId="0" fontId="2" fillId="3" borderId="0" xfId="0" applyFont="1" applyFill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0" xfId="0" applyBorder="1"/>
    <xf numFmtId="0" fontId="0" fillId="4" borderId="7" xfId="0" applyFill="1" applyBorder="1"/>
    <xf numFmtId="164" fontId="2" fillId="5" borderId="9" xfId="0" applyNumberFormat="1" applyFont="1" applyFill="1" applyBorder="1"/>
    <xf numFmtId="164" fontId="0" fillId="4" borderId="8" xfId="0" applyNumberFormat="1" applyFill="1" applyBorder="1"/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8" fontId="4" fillId="3" borderId="2" xfId="0" applyNumberFormat="1" applyFont="1" applyFill="1" applyBorder="1" applyAlignment="1">
      <alignment horizontal="center" vertical="center"/>
    </xf>
    <xf numFmtId="0" fontId="4" fillId="3" borderId="6" xfId="0" applyFont="1" applyFill="1" applyBorder="1"/>
    <xf numFmtId="164" fontId="4" fillId="3" borderId="6" xfId="0" applyNumberFormat="1" applyFont="1" applyFill="1" applyBorder="1" applyAlignment="1">
      <alignment horizontal="center" vertical="center"/>
    </xf>
    <xf numFmtId="0" fontId="4" fillId="3" borderId="3" xfId="0" applyFont="1" applyFill="1" applyBorder="1"/>
  </cellXfs>
  <cellStyles count="1">
    <cellStyle name="Normal" xfId="0" builtinId="0"/>
  </cellStyles>
  <dxfs count="2">
    <dxf>
      <numFmt numFmtId="165" formatCode="\₹#,###.0,,\ &quot;Cr&quot;"/>
    </dxf>
    <dxf>
      <numFmt numFmtId="165" formatCode="\₹#,###.0,,\ &quot;Cr&quot;"/>
    </dxf>
  </dxfs>
  <tableStyles count="0" defaultTableStyle="TableStyleMedium2" defaultPivotStyle="PivotStyleMedium9"/>
  <colors>
    <mruColors>
      <color rgb="FF4FC8D1"/>
      <color rgb="FF1AADB8"/>
      <color rgb="FFB5A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Territory Revenue: Actual vs. Target</a:t>
            </a:r>
          </a:p>
        </c:rich>
      </c:tx>
      <c:layout>
        <c:manualLayout>
          <c:xMode val="edge"/>
          <c:yMode val="edge"/>
          <c:x val="0.29853593773935355"/>
          <c:y val="2.2967205367274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Territory_Performance!$B$1</c:f>
              <c:strCache>
                <c:ptCount val="1"/>
                <c:pt idx="0">
                  <c:v>actual_revenue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1372519100413623E-2"/>
                  <c:y val="-9.3112711133910462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20-4203-B276-70766B8680A3}"/>
                </c:ext>
              </c:extLst>
            </c:dLbl>
            <c:dLbl>
              <c:idx val="2"/>
              <c:layout>
                <c:manualLayout>
                  <c:x val="-2.2058823529411766E-2"/>
                  <c:y val="1.241638454765580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20-4203-B276-70766B8680A3}"/>
                </c:ext>
              </c:extLst>
            </c:dLbl>
            <c:dLbl>
              <c:idx val="3"/>
              <c:layout>
                <c:manualLayout>
                  <c:x val="-2.2058627645855648E-2"/>
                  <c:y val="1.08627014289923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20-4203-B276-70766B8680A3}"/>
                </c:ext>
              </c:extLst>
            </c:dLbl>
            <c:dLbl>
              <c:idx val="5"/>
              <c:layout>
                <c:manualLayout>
                  <c:x val="-3.627450980392171E-2"/>
                  <c:y val="1.3966508861804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20-4203-B276-70766B8680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Territory_Performance!$A$2:$A$7</c:f>
              <c:strCache>
                <c:ptCount val="6"/>
                <c:pt idx="0">
                  <c:v>North Zone</c:v>
                </c:pt>
                <c:pt idx="1">
                  <c:v>South Zone</c:v>
                </c:pt>
                <c:pt idx="2">
                  <c:v>East Zone</c:v>
                </c:pt>
                <c:pt idx="3">
                  <c:v>West Zone</c:v>
                </c:pt>
                <c:pt idx="4">
                  <c:v>Central Zone</c:v>
                </c:pt>
                <c:pt idx="5">
                  <c:v>North-East Zone</c:v>
                </c:pt>
              </c:strCache>
            </c:strRef>
          </c:cat>
          <c:val>
            <c:numRef>
              <c:f>Territory_Performance!$B$2:$B$7</c:f>
              <c:numCache>
                <c:formatCode>\₹#,###,,\ "Cr"</c:formatCode>
                <c:ptCount val="6"/>
                <c:pt idx="0">
                  <c:v>2842000000</c:v>
                </c:pt>
                <c:pt idx="1">
                  <c:v>2069000000</c:v>
                </c:pt>
                <c:pt idx="2">
                  <c:v>3380000000</c:v>
                </c:pt>
                <c:pt idx="3">
                  <c:v>1520000000</c:v>
                </c:pt>
                <c:pt idx="4">
                  <c:v>2062000000</c:v>
                </c:pt>
                <c:pt idx="5">
                  <c:v>1037000000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20-4203-B276-70766B8680A3}"/>
            </c:ext>
          </c:extLst>
        </c:ser>
        <c:ser>
          <c:idx val="1"/>
          <c:order val="1"/>
          <c:tx>
            <c:strRef>
              <c:f>Territory_Performance!$C$1</c:f>
              <c:strCache>
                <c:ptCount val="1"/>
                <c:pt idx="0">
                  <c:v>target_revenue</c:v>
                </c:pt>
              </c:strCache>
            </c:strRef>
          </c:tx>
          <c:spPr>
            <a:solidFill>
              <a:srgbClr val="B5ADF7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3039245605468751E-2"/>
                  <c:y val="2.172544681826117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20-4203-B276-70766B8680A3}"/>
                </c:ext>
              </c:extLst>
            </c:dLbl>
            <c:dLbl>
              <c:idx val="1"/>
              <c:layout>
                <c:manualLayout>
                  <c:x val="2.5980576468522563E-2"/>
                  <c:y val="4.03496295902833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20-4203-B276-70766B8680A3}"/>
                </c:ext>
              </c:extLst>
            </c:dLbl>
            <c:dLbl>
              <c:idx val="4"/>
              <c:layout>
                <c:manualLayout>
                  <c:x val="2.091513241038603E-2"/>
                  <c:y val="1.45873170991183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20-4203-B276-70766B8680A3}"/>
                </c:ext>
              </c:extLst>
            </c:dLbl>
            <c:dLbl>
              <c:idx val="5"/>
              <c:layout>
                <c:manualLayout>
                  <c:x val="1.4542511980493477E-2"/>
                  <c:y val="4.034742074749767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F20-4203-B276-70766B8680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Territory_Performance!$A$2:$A$7</c:f>
              <c:strCache>
                <c:ptCount val="6"/>
                <c:pt idx="0">
                  <c:v>North Zone</c:v>
                </c:pt>
                <c:pt idx="1">
                  <c:v>South Zone</c:v>
                </c:pt>
                <c:pt idx="2">
                  <c:v>East Zone</c:v>
                </c:pt>
                <c:pt idx="3">
                  <c:v>West Zone</c:v>
                </c:pt>
                <c:pt idx="4">
                  <c:v>Central Zone</c:v>
                </c:pt>
                <c:pt idx="5">
                  <c:v>North-East Zone</c:v>
                </c:pt>
              </c:strCache>
            </c:strRef>
          </c:cat>
          <c:val>
            <c:numRef>
              <c:f>Territory_Performance!$C$2:$C$7</c:f>
              <c:numCache>
                <c:formatCode>\₹#,###,,\ "Cr"</c:formatCode>
                <c:ptCount val="6"/>
                <c:pt idx="0">
                  <c:v>2586000000</c:v>
                </c:pt>
                <c:pt idx="1">
                  <c:v>2157000000</c:v>
                </c:pt>
                <c:pt idx="2">
                  <c:v>4872000000</c:v>
                </c:pt>
                <c:pt idx="3">
                  <c:v>1780000000</c:v>
                </c:pt>
                <c:pt idx="4">
                  <c:v>1913000000</c:v>
                </c:pt>
                <c:pt idx="5">
                  <c:v>1001000000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20-4203-B276-70766B8680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6043784"/>
        <c:axId val="1916045832"/>
      </c:barChart>
      <c:catAx>
        <c:axId val="191604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62626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045832"/>
        <c:crosses val="autoZero"/>
        <c:auto val="1"/>
        <c:lblAlgn val="ctr"/>
        <c:lblOffset val="100"/>
        <c:noMultiLvlLbl val="0"/>
      </c:catAx>
      <c:valAx>
        <c:axId val="1916045832"/>
        <c:scaling>
          <c:orientation val="minMax"/>
        </c:scaling>
        <c:delete val="1"/>
        <c:axPos val="l"/>
        <c:numFmt formatCode="\₹#,###,,\ &quot;Cr&quot;" sourceLinked="1"/>
        <c:majorTickMark val="none"/>
        <c:minorTickMark val="none"/>
        <c:tickLblPos val="nextTo"/>
        <c:crossAx val="191604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[Pharma_Sales_Dashboard_Project1.xlsx]Executive_Dashboard!PivotTable6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Doctor Base: Segment Distribution</a:t>
            </a:r>
          </a:p>
        </c:rich>
      </c:tx>
      <c:layout>
        <c:manualLayout>
          <c:xMode val="edge"/>
          <c:yMode val="edge"/>
          <c:x val="0.23008812883832641"/>
          <c:y val="3.9075931888725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F75B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BDD7EE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DDEBF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Executive_Dashboard!$AH$6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BC2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75E-4986-AE08-154B89933AC7}"/>
              </c:ext>
            </c:extLst>
          </c:dPt>
          <c:dPt>
            <c:idx val="1"/>
            <c:bubble3D val="0"/>
            <c:spPr>
              <a:solidFill>
                <a:srgbClr val="BDD7E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5E-4986-AE08-154B89933AC7}"/>
              </c:ext>
            </c:extLst>
          </c:dPt>
          <c:dPt>
            <c:idx val="2"/>
            <c:bubble3D val="0"/>
            <c:spPr>
              <a:solidFill>
                <a:srgbClr val="DDEBF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75E-4986-AE08-154B89933AC7}"/>
              </c:ext>
            </c:extLst>
          </c:dPt>
          <c:dPt>
            <c:idx val="3"/>
            <c:bubble3D val="0"/>
            <c:spPr>
              <a:solidFill>
                <a:srgbClr val="2F75B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5E-4986-AE08-154B89933A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Executive_Dashboard!$AG$7:$AG$11</c:f>
              <c:strCache>
                <c:ptCount val="4"/>
                <c:pt idx="0">
                  <c:v>High Value</c:v>
                </c:pt>
                <c:pt idx="1">
                  <c:v>Key Opinion Leader</c:v>
                </c:pt>
                <c:pt idx="2">
                  <c:v>Low Engagement</c:v>
                </c:pt>
                <c:pt idx="3">
                  <c:v>Standard</c:v>
                </c:pt>
              </c:strCache>
            </c:strRef>
          </c:cat>
          <c:val>
            <c:numRef>
              <c:f>Executive_Dashboard!$AH$7:$AH$11</c:f>
              <c:numCache>
                <c:formatCode>General</c:formatCode>
                <c:ptCount val="4"/>
                <c:pt idx="0">
                  <c:v>40</c:v>
                </c:pt>
                <c:pt idx="1">
                  <c:v>20</c:v>
                </c:pt>
                <c:pt idx="2">
                  <c:v>60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E-4986-AE08-154B89933A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MRs by Total Revenue</a:t>
            </a:r>
          </a:p>
        </c:rich>
      </c:tx>
      <c:layout>
        <c:manualLayout>
          <c:xMode val="edge"/>
          <c:yMode val="edge"/>
          <c:x val="0.30032705954705663"/>
          <c:y val="3.20447253616733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B4C6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Data_Source!$B$2:$B$11</c:f>
              <c:strCache>
                <c:ptCount val="10"/>
                <c:pt idx="0">
                  <c:v>Sean Fisher DVM</c:v>
                </c:pt>
                <c:pt idx="1">
                  <c:v>Monica Collins</c:v>
                </c:pt>
                <c:pt idx="2">
                  <c:v>Christopher Ryan</c:v>
                </c:pt>
                <c:pt idx="3">
                  <c:v>Haley Smith</c:v>
                </c:pt>
                <c:pt idx="4">
                  <c:v>Courtney Bryant</c:v>
                </c:pt>
                <c:pt idx="5">
                  <c:v>David Collins</c:v>
                </c:pt>
                <c:pt idx="6">
                  <c:v>Steven Shelton</c:v>
                </c:pt>
                <c:pt idx="7">
                  <c:v>Tonya Holland</c:v>
                </c:pt>
                <c:pt idx="8">
                  <c:v>Marc Watson</c:v>
                </c:pt>
                <c:pt idx="9">
                  <c:v>Mr. Travis Nguyen</c:v>
                </c:pt>
              </c:strCache>
            </c:strRef>
          </c:cat>
          <c:val>
            <c:numRef>
              <c:f>Data_Source!$E$2:$E$11</c:f>
              <c:numCache>
                <c:formatCode>\₹#,###,,\ "Cr"</c:formatCode>
                <c:ptCount val="10"/>
                <c:pt idx="0">
                  <c:v>275000000</c:v>
                </c:pt>
                <c:pt idx="1">
                  <c:v>274000000</c:v>
                </c:pt>
                <c:pt idx="2">
                  <c:v>273000000</c:v>
                </c:pt>
                <c:pt idx="3">
                  <c:v>272000000</c:v>
                </c:pt>
                <c:pt idx="4">
                  <c:v>272000000</c:v>
                </c:pt>
                <c:pt idx="5">
                  <c:v>270000000</c:v>
                </c:pt>
                <c:pt idx="6">
                  <c:v>270000000</c:v>
                </c:pt>
                <c:pt idx="7">
                  <c:v>270000000</c:v>
                </c:pt>
                <c:pt idx="8">
                  <c:v>269000000</c:v>
                </c:pt>
                <c:pt idx="9">
                  <c:v>268000000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9-49C9-BAAE-188E7BCADA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52020232"/>
        <c:axId val="1252022280"/>
      </c:barChart>
      <c:catAx>
        <c:axId val="1252020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22280"/>
        <c:crosses val="autoZero"/>
        <c:auto val="1"/>
        <c:lblAlgn val="ctr"/>
        <c:lblOffset val="100"/>
        <c:noMultiLvlLbl val="0"/>
      </c:catAx>
      <c:valAx>
        <c:axId val="1252022280"/>
        <c:scaling>
          <c:orientation val="minMax"/>
        </c:scaling>
        <c:delete val="1"/>
        <c:axPos val="t"/>
        <c:numFmt formatCode="\₹#,###,,\ &quot;Cr&quot;" sourceLinked="1"/>
        <c:majorTickMark val="none"/>
        <c:minorTickMark val="none"/>
        <c:tickLblPos val="nextTo"/>
        <c:crossAx val="1252020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Territory Revenue: Actual vs. Target</a:t>
            </a:r>
          </a:p>
        </c:rich>
      </c:tx>
      <c:layout>
        <c:manualLayout>
          <c:xMode val="edge"/>
          <c:yMode val="edge"/>
          <c:x val="0.29853593773935355"/>
          <c:y val="2.2967205367274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Territory_Performance!$B$1</c:f>
              <c:strCache>
                <c:ptCount val="1"/>
                <c:pt idx="0">
                  <c:v>actual_revenue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1372519100413623E-2"/>
                  <c:y val="-9.3112711133910462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BDA-4AF3-9604-343902D8039D}"/>
                </c:ext>
              </c:extLst>
            </c:dLbl>
            <c:dLbl>
              <c:idx val="2"/>
              <c:layout>
                <c:manualLayout>
                  <c:x val="-2.2058823529411766E-2"/>
                  <c:y val="1.241638454765580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BDA-4AF3-9604-343902D8039D}"/>
                </c:ext>
              </c:extLst>
            </c:dLbl>
            <c:dLbl>
              <c:idx val="3"/>
              <c:layout>
                <c:manualLayout>
                  <c:x val="-2.2058627645855648E-2"/>
                  <c:y val="1.08627014289923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BDA-4AF3-9604-343902D8039D}"/>
                </c:ext>
              </c:extLst>
            </c:dLbl>
            <c:dLbl>
              <c:idx val="5"/>
              <c:layout>
                <c:manualLayout>
                  <c:x val="-3.627450980392171E-2"/>
                  <c:y val="1.3966508861804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BDA-4AF3-9604-343902D803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Territory_Performance!$A$2:$A$7</c:f>
              <c:strCache>
                <c:ptCount val="6"/>
                <c:pt idx="0">
                  <c:v>North Zone</c:v>
                </c:pt>
                <c:pt idx="1">
                  <c:v>South Zone</c:v>
                </c:pt>
                <c:pt idx="2">
                  <c:v>East Zone</c:v>
                </c:pt>
                <c:pt idx="3">
                  <c:v>West Zone</c:v>
                </c:pt>
                <c:pt idx="4">
                  <c:v>Central Zone</c:v>
                </c:pt>
                <c:pt idx="5">
                  <c:v>North-East Zone</c:v>
                </c:pt>
              </c:strCache>
            </c:strRef>
          </c:cat>
          <c:val>
            <c:numRef>
              <c:f>Territory_Performance!$B$2:$B$7</c:f>
              <c:numCache>
                <c:formatCode>\₹#,###,,\ "Cr"</c:formatCode>
                <c:ptCount val="6"/>
                <c:pt idx="0">
                  <c:v>2842000000</c:v>
                </c:pt>
                <c:pt idx="1">
                  <c:v>2069000000</c:v>
                </c:pt>
                <c:pt idx="2">
                  <c:v>3380000000</c:v>
                </c:pt>
                <c:pt idx="3">
                  <c:v>1520000000</c:v>
                </c:pt>
                <c:pt idx="4">
                  <c:v>2062000000</c:v>
                </c:pt>
                <c:pt idx="5">
                  <c:v>1037000000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A-4AF3-9604-343902D8039D}"/>
            </c:ext>
          </c:extLst>
        </c:ser>
        <c:ser>
          <c:idx val="1"/>
          <c:order val="1"/>
          <c:tx>
            <c:strRef>
              <c:f>Territory_Performance!$C$1</c:f>
              <c:strCache>
                <c:ptCount val="1"/>
                <c:pt idx="0">
                  <c:v>target_revenue</c:v>
                </c:pt>
              </c:strCache>
            </c:strRef>
          </c:tx>
          <c:spPr>
            <a:solidFill>
              <a:srgbClr val="B5ADF7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3039245605468751E-2"/>
                  <c:y val="2.172544681826117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BDA-4AF3-9604-343902D8039D}"/>
                </c:ext>
              </c:extLst>
            </c:dLbl>
            <c:dLbl>
              <c:idx val="1"/>
              <c:layout>
                <c:manualLayout>
                  <c:x val="2.5980576468522563E-2"/>
                  <c:y val="4.03496295902833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DA-4AF3-9604-343902D8039D}"/>
                </c:ext>
              </c:extLst>
            </c:dLbl>
            <c:dLbl>
              <c:idx val="4"/>
              <c:layout>
                <c:manualLayout>
                  <c:x val="2.091513241038603E-2"/>
                  <c:y val="1.45873170991183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BDA-4AF3-9604-343902D8039D}"/>
                </c:ext>
              </c:extLst>
            </c:dLbl>
            <c:dLbl>
              <c:idx val="5"/>
              <c:layout>
                <c:manualLayout>
                  <c:x val="1.4542511980493477E-2"/>
                  <c:y val="4.034742074749767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BDA-4AF3-9604-343902D803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Territory_Performance!$A$2:$A$7</c:f>
              <c:strCache>
                <c:ptCount val="6"/>
                <c:pt idx="0">
                  <c:v>North Zone</c:v>
                </c:pt>
                <c:pt idx="1">
                  <c:v>South Zone</c:v>
                </c:pt>
                <c:pt idx="2">
                  <c:v>East Zone</c:v>
                </c:pt>
                <c:pt idx="3">
                  <c:v>West Zone</c:v>
                </c:pt>
                <c:pt idx="4">
                  <c:v>Central Zone</c:v>
                </c:pt>
                <c:pt idx="5">
                  <c:v>North-East Zone</c:v>
                </c:pt>
              </c:strCache>
            </c:strRef>
          </c:cat>
          <c:val>
            <c:numRef>
              <c:f>Territory_Performance!$C$2:$C$7</c:f>
              <c:numCache>
                <c:formatCode>\₹#,###,,\ "Cr"</c:formatCode>
                <c:ptCount val="6"/>
                <c:pt idx="0">
                  <c:v>2586000000</c:v>
                </c:pt>
                <c:pt idx="1">
                  <c:v>2157000000</c:v>
                </c:pt>
                <c:pt idx="2">
                  <c:v>4872000000</c:v>
                </c:pt>
                <c:pt idx="3">
                  <c:v>1780000000</c:v>
                </c:pt>
                <c:pt idx="4">
                  <c:v>1913000000</c:v>
                </c:pt>
                <c:pt idx="5">
                  <c:v>1001000000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DA-4AF3-9604-343902D803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6043784"/>
        <c:axId val="1916045832"/>
      </c:barChart>
      <c:catAx>
        <c:axId val="191604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62626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045832"/>
        <c:crosses val="autoZero"/>
        <c:auto val="1"/>
        <c:lblAlgn val="ctr"/>
        <c:lblOffset val="100"/>
        <c:noMultiLvlLbl val="0"/>
      </c:catAx>
      <c:valAx>
        <c:axId val="1916045832"/>
        <c:scaling>
          <c:orientation val="minMax"/>
        </c:scaling>
        <c:delete val="1"/>
        <c:axPos val="l"/>
        <c:numFmt formatCode="\₹#,###,,\ &quot;Cr&quot;" sourceLinked="1"/>
        <c:majorTickMark val="none"/>
        <c:minorTickMark val="none"/>
        <c:tickLblPos val="nextTo"/>
        <c:crossAx val="191604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[Pharma_Sales_Dashboard_Project1.xlsx]Doctor_Segment_Summary!PivotTable2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Doctor Base: Segment Distribution</a:t>
            </a:r>
          </a:p>
        </c:rich>
      </c:tx>
      <c:layout>
        <c:manualLayout>
          <c:xMode val="edge"/>
          <c:yMode val="edge"/>
          <c:x val="0.24601786697206113"/>
          <c:y val="5.342244256504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E0B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BDD7EE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2F75B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DDEBF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Doctor_Segment_Summary!$B$3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E0B4"/>
            </a:solidFill>
          </c:spPr>
          <c:dPt>
            <c:idx val="0"/>
            <c:bubble3D val="0"/>
            <c:spPr>
              <a:solidFill>
                <a:srgbClr val="9BC2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B8-4481-9DDA-B8F504A4CE68}"/>
              </c:ext>
            </c:extLst>
          </c:dPt>
          <c:dPt>
            <c:idx val="1"/>
            <c:bubble3D val="0"/>
            <c:spPr>
              <a:solidFill>
                <a:srgbClr val="BDD7E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CB8-4481-9DDA-B8F504A4CE68}"/>
              </c:ext>
            </c:extLst>
          </c:dPt>
          <c:dPt>
            <c:idx val="2"/>
            <c:bubble3D val="0"/>
            <c:spPr>
              <a:solidFill>
                <a:srgbClr val="DDEBF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CB8-4481-9DDA-B8F504A4CE68}"/>
              </c:ext>
            </c:extLst>
          </c:dPt>
          <c:dPt>
            <c:idx val="3"/>
            <c:bubble3D val="0"/>
            <c:spPr>
              <a:solidFill>
                <a:srgbClr val="2F75B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B8-4481-9DDA-B8F504A4CE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Doctor_Segment_Summary!$A$4:$A$8</c:f>
              <c:strCache>
                <c:ptCount val="4"/>
                <c:pt idx="0">
                  <c:v>High Value</c:v>
                </c:pt>
                <c:pt idx="1">
                  <c:v>Key Opinion Leader</c:v>
                </c:pt>
                <c:pt idx="2">
                  <c:v>Low Engagement</c:v>
                </c:pt>
                <c:pt idx="3">
                  <c:v>Standard</c:v>
                </c:pt>
              </c:strCache>
            </c:strRef>
          </c:cat>
          <c:val>
            <c:numRef>
              <c:f>Doctor_Segment_Summary!$B$4:$B$8</c:f>
              <c:numCache>
                <c:formatCode>General</c:formatCode>
                <c:ptCount val="4"/>
                <c:pt idx="0">
                  <c:v>40</c:v>
                </c:pt>
                <c:pt idx="1">
                  <c:v>20</c:v>
                </c:pt>
                <c:pt idx="2">
                  <c:v>60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8-4481-9DDA-B8F504A4CE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[Pharma_Sales_Dashboard_Project1.xlsx]Lookup_Table!PivotTable3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KOL Specialization Mix</a:t>
            </a:r>
          </a:p>
        </c:rich>
      </c:tx>
      <c:layout>
        <c:manualLayout>
          <c:xMode val="edge"/>
          <c:yMode val="edge"/>
          <c:x val="0.36525645096612419"/>
          <c:y val="2.522179686147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FC8D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Lookup_Table!$B$3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C8D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Lookup_Table!$A$4:$A$11</c:f>
              <c:strCache>
                <c:ptCount val="7"/>
                <c:pt idx="0">
                  <c:v>Cardiologist</c:v>
                </c:pt>
                <c:pt idx="1">
                  <c:v>Dermatologist</c:v>
                </c:pt>
                <c:pt idx="2">
                  <c:v>Endocrinologist</c:v>
                </c:pt>
                <c:pt idx="3">
                  <c:v>General Physician</c:v>
                </c:pt>
                <c:pt idx="4">
                  <c:v>Neurologist</c:v>
                </c:pt>
                <c:pt idx="5">
                  <c:v>Orthopedic</c:v>
                </c:pt>
                <c:pt idx="6">
                  <c:v>Pulmonologist</c:v>
                </c:pt>
              </c:strCache>
            </c:strRef>
          </c:cat>
          <c:val>
            <c:numRef>
              <c:f>Lookup_Table!$B$4:$B$11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9-4A76-9553-24692D9407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1773320"/>
        <c:axId val="501775368"/>
      </c:barChart>
      <c:catAx>
        <c:axId val="501773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775368"/>
        <c:crosses val="autoZero"/>
        <c:auto val="1"/>
        <c:lblAlgn val="ctr"/>
        <c:lblOffset val="100"/>
        <c:noMultiLvlLbl val="0"/>
      </c:catAx>
      <c:valAx>
        <c:axId val="501775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1773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[Pharma_Sales_Dashboard_Project1.xlsx]Pivot_Table!PivotTable1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Bonus Payout Distribution by Tier</a:t>
            </a:r>
          </a:p>
        </c:rich>
      </c:tx>
      <c:layout>
        <c:manualLayout>
          <c:xMode val="edge"/>
          <c:yMode val="edge"/>
          <c:x val="0.14835419729159693"/>
          <c:y val="2.6915264675963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5ADF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4C6E7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30549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B5ADF7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Sum of bonus_payout</c:v>
                </c:pt>
              </c:strCache>
            </c:strRef>
          </c:tx>
          <c:spPr>
            <a:solidFill>
              <a:srgbClr val="B5ADF7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549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84-4847-984D-F3EF2C5C0695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B84-4847-984D-F3EF2C5C0695}"/>
              </c:ext>
            </c:extLst>
          </c:dPt>
          <c:dPt>
            <c:idx val="2"/>
            <c:invertIfNegative val="0"/>
            <c:bubble3D val="0"/>
            <c:spPr>
              <a:solidFill>
                <a:srgbClr val="B5ADF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B2-43BF-B55E-1BC68D4478F7}"/>
              </c:ext>
            </c:extLst>
          </c:dPt>
          <c:dPt>
            <c:idx val="3"/>
            <c:invertIfNegative val="0"/>
            <c:bubble3D val="0"/>
            <c:spPr>
              <a:solidFill>
                <a:srgbClr val="B4C6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84-4847-984D-F3EF2C5C06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Pivot_Table!$A$4:$A$8</c:f>
              <c:strCache>
                <c:ptCount val="4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Pivot_Table!$B$4:$B$8</c:f>
              <c:numCache>
                <c:formatCode>\₹#,###.0,,\ "Cr"</c:formatCode>
                <c:ptCount val="4"/>
                <c:pt idx="0">
                  <c:v>28940000</c:v>
                </c:pt>
                <c:pt idx="1">
                  <c:v>234480000</c:v>
                </c:pt>
                <c:pt idx="2">
                  <c:v>323760000</c:v>
                </c:pt>
                <c:pt idx="3">
                  <c:v>140320000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4-4847-984D-F3EF2C5C0695}"/>
            </c:ext>
          </c:extLst>
        </c:ser>
        <c:ser>
          <c:idx val="1"/>
          <c:order val="1"/>
          <c:tx>
            <c:strRef>
              <c:f>Pivot_Table!$C$3</c:f>
              <c:strCache>
                <c:ptCount val="1"/>
                <c:pt idx="0">
                  <c:v>Count of mr_id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B2-43BF-B55E-1BC68D4478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B2-43BF-B55E-1BC68D4478F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8B2-43BF-B55E-1BC68D4478F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8B2-43BF-B55E-1BC68D4478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Pivot_Table!$A$4:$A$8</c:f>
              <c:strCache>
                <c:ptCount val="4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Pivot_Table!$C$4:$C$8</c:f>
              <c:numCache>
                <c:formatCode>General</c:formatCode>
                <c:ptCount val="4"/>
                <c:pt idx="0">
                  <c:v>6</c:v>
                </c:pt>
                <c:pt idx="1">
                  <c:v>15</c:v>
                </c:pt>
                <c:pt idx="2">
                  <c:v>15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84-4847-984D-F3EF2C5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6"/>
        <c:axId val="807721480"/>
        <c:axId val="807723528"/>
      </c:barChart>
      <c:catAx>
        <c:axId val="807721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23528"/>
        <c:crosses val="autoZero"/>
        <c:auto val="1"/>
        <c:lblAlgn val="ctr"/>
        <c:lblOffset val="100"/>
        <c:noMultiLvlLbl val="0"/>
      </c:catAx>
      <c:valAx>
        <c:axId val="807723528"/>
        <c:scaling>
          <c:orientation val="minMax"/>
        </c:scaling>
        <c:delete val="1"/>
        <c:axPos val="l"/>
        <c:numFmt formatCode="\₹#,###.0,,\ &quot;Cr&quot;" sourceLinked="1"/>
        <c:majorTickMark val="out"/>
        <c:minorTickMark val="none"/>
        <c:tickLblPos val="nextTo"/>
        <c:crossAx val="807721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MRs by Total Revenue</a:t>
            </a:r>
          </a:p>
        </c:rich>
      </c:tx>
      <c:layout>
        <c:manualLayout>
          <c:xMode val="edge"/>
          <c:yMode val="edge"/>
          <c:x val="0.30032705954705663"/>
          <c:y val="3.20447253616733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B4C6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Data_Source!$B$2:$B$11</c:f>
              <c:strCache>
                <c:ptCount val="10"/>
                <c:pt idx="0">
                  <c:v>Sean Fisher DVM</c:v>
                </c:pt>
                <c:pt idx="1">
                  <c:v>Monica Collins</c:v>
                </c:pt>
                <c:pt idx="2">
                  <c:v>Christopher Ryan</c:v>
                </c:pt>
                <c:pt idx="3">
                  <c:v>Haley Smith</c:v>
                </c:pt>
                <c:pt idx="4">
                  <c:v>Courtney Bryant</c:v>
                </c:pt>
                <c:pt idx="5">
                  <c:v>David Collins</c:v>
                </c:pt>
                <c:pt idx="6">
                  <c:v>Steven Shelton</c:v>
                </c:pt>
                <c:pt idx="7">
                  <c:v>Tonya Holland</c:v>
                </c:pt>
                <c:pt idx="8">
                  <c:v>Marc Watson</c:v>
                </c:pt>
                <c:pt idx="9">
                  <c:v>Mr. Travis Nguyen</c:v>
                </c:pt>
              </c:strCache>
            </c:strRef>
          </c:cat>
          <c:val>
            <c:numRef>
              <c:f>Data_Source!$E$2:$E$11</c:f>
              <c:numCache>
                <c:formatCode>\₹#,###,,\ "Cr"</c:formatCode>
                <c:ptCount val="10"/>
                <c:pt idx="0">
                  <c:v>275000000</c:v>
                </c:pt>
                <c:pt idx="1">
                  <c:v>274000000</c:v>
                </c:pt>
                <c:pt idx="2">
                  <c:v>273000000</c:v>
                </c:pt>
                <c:pt idx="3">
                  <c:v>272000000</c:v>
                </c:pt>
                <c:pt idx="4">
                  <c:v>272000000</c:v>
                </c:pt>
                <c:pt idx="5">
                  <c:v>270000000</c:v>
                </c:pt>
                <c:pt idx="6">
                  <c:v>270000000</c:v>
                </c:pt>
                <c:pt idx="7">
                  <c:v>270000000</c:v>
                </c:pt>
                <c:pt idx="8">
                  <c:v>269000000</c:v>
                </c:pt>
                <c:pt idx="9">
                  <c:v>268000000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7-4634-A431-3FB72B6D74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52020232"/>
        <c:axId val="1252022280"/>
      </c:barChart>
      <c:catAx>
        <c:axId val="1252020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22280"/>
        <c:crosses val="autoZero"/>
        <c:auto val="1"/>
        <c:lblAlgn val="ctr"/>
        <c:lblOffset val="100"/>
        <c:noMultiLvlLbl val="0"/>
      </c:catAx>
      <c:valAx>
        <c:axId val="1252022280"/>
        <c:scaling>
          <c:orientation val="minMax"/>
        </c:scaling>
        <c:delete val="1"/>
        <c:axPos val="t"/>
        <c:numFmt formatCode="\₹#,###,,\ &quot;Cr&quot;" sourceLinked="1"/>
        <c:majorTickMark val="none"/>
        <c:minorTickMark val="none"/>
        <c:tickLblPos val="nextTo"/>
        <c:crossAx val="1252020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942975</xdr:colOff>
      <xdr:row>6</xdr:row>
      <xdr:rowOff>0</xdr:rowOff>
    </xdr:from>
    <xdr:to>
      <xdr:col>6</xdr:col>
      <xdr:colOff>304800</xdr:colOff>
      <xdr:row>22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3AC63E-FB47-4EF7-B57D-441BB101E9E2}"/>
            </a:ext>
            <a:ext uri="{147F2762-F138-4A5C-976F-8EAC2B608ADB}">
              <a16:predDERef xmlns:a16="http://schemas.microsoft.com/office/drawing/2014/main" pred="{4677BE76-3E89-4503-B677-98758DCD0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6</xdr:row>
      <xdr:rowOff>9525</xdr:rowOff>
    </xdr:from>
    <xdr:to>
      <xdr:col>14</xdr:col>
      <xdr:colOff>228600</xdr:colOff>
      <xdr:row>22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691FFF6-7A00-C03E-365C-6B0E49381BE7}"/>
            </a:ext>
            <a:ext uri="{147F2762-F138-4A5C-976F-8EAC2B608ADB}">
              <a16:predDERef xmlns:a16="http://schemas.microsoft.com/office/drawing/2014/main" pred="{BD3AC63E-FB47-4EF7-B57D-441BB101E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581025</xdr:colOff>
      <xdr:row>0</xdr:row>
      <xdr:rowOff>95250</xdr:rowOff>
    </xdr:from>
    <xdr:to>
      <xdr:col>9</xdr:col>
      <xdr:colOff>581025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segment 2">
              <a:extLst>
                <a:ext uri="{FF2B5EF4-FFF2-40B4-BE49-F238E27FC236}">
                  <a16:creationId xmlns:a16="http://schemas.microsoft.com/office/drawing/2014/main" id="{B702EC7D-82D2-DD27-9A0E-3095819C4C92}"/>
                </a:ext>
                <a:ext uri="{147F2762-F138-4A5C-976F-8EAC2B608ADB}">
                  <a16:predDERef xmlns:a16="http://schemas.microsoft.com/office/drawing/2014/main" pred="{D691FFF6-7A00-C03E-365C-6B0E49381B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20575" y="76200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57150</xdr:colOff>
      <xdr:row>6</xdr:row>
      <xdr:rowOff>0</xdr:rowOff>
    </xdr:from>
    <xdr:to>
      <xdr:col>2</xdr:col>
      <xdr:colOff>809625</xdr:colOff>
      <xdr:row>22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538B9E-4C45-4F3E-A20E-1EFF695868D5}"/>
            </a:ext>
            <a:ext uri="{147F2762-F138-4A5C-976F-8EAC2B608ADB}">
              <a16:predDERef xmlns:a16="http://schemas.microsoft.com/office/drawing/2014/main" pred="{B702EC7D-82D2-DD27-9A0E-3095819C4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8</xdr:row>
      <xdr:rowOff>104775</xdr:rowOff>
    </xdr:from>
    <xdr:to>
      <xdr:col>7</xdr:col>
      <xdr:colOff>38100</xdr:colOff>
      <xdr:row>26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51DBA-9D28-E6AE-C176-E5BB5006E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4</xdr:row>
      <xdr:rowOff>9525</xdr:rowOff>
    </xdr:from>
    <xdr:to>
      <xdr:col>12</xdr:col>
      <xdr:colOff>514350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5A83D-E5B8-438A-F4F5-A1C158FBF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6</xdr:row>
      <xdr:rowOff>9525</xdr:rowOff>
    </xdr:from>
    <xdr:to>
      <xdr:col>13</xdr:col>
      <xdr:colOff>371475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B47C45-A39C-D40A-AFF3-2D5782C53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4</xdr:row>
      <xdr:rowOff>161925</xdr:rowOff>
    </xdr:from>
    <xdr:to>
      <xdr:col>13</xdr:col>
      <xdr:colOff>457200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DF2A2-BF4C-62F3-9F5D-EAF9258B4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0</xdr:rowOff>
    </xdr:from>
    <xdr:to>
      <xdr:col>18</xdr:col>
      <xdr:colOff>390525</xdr:colOff>
      <xdr:row>26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72EBE-14E8-476C-B0AB-E01B7FF57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3.357322569442" createdVersion="8" refreshedVersion="8" minRefreshableVersion="3" recordCount="50" xr:uid="{782433DC-8253-40BB-B176-CFFA0C942877}">
  <cacheSource type="worksheet">
    <worksheetSource ref="A1:H51" sheet="Data_Source"/>
  </cacheSource>
  <cacheFields count="8">
    <cacheField name="mr_id" numFmtId="0">
      <sharedItems containsSemiMixedTypes="0" containsString="0" containsNumber="1" containsInteger="1" minValue="1" maxValue="50"/>
    </cacheField>
    <cacheField name="mr_name" numFmtId="0">
      <sharedItems/>
    </cacheField>
    <cacheField name="territory" numFmtId="0">
      <sharedItems/>
    </cacheField>
    <cacheField name="total_transactions" numFmtId="0">
      <sharedItems containsSemiMixedTypes="0" containsString="0" containsNumber="1" containsInteger="1" minValue="954" maxValue="1053"/>
    </cacheField>
    <cacheField name="total_revenue_generated" numFmtId="11">
      <sharedItems containsSemiMixedTypes="0" containsString="0" containsNumber="1" containsInteger="1" minValue="238000000" maxValue="275000000"/>
    </cacheField>
    <cacheField name="avg_revenue_per_sale" numFmtId="0">
      <sharedItems containsSemiMixedTypes="0" containsString="0" containsNumber="1" minValue="235402.1" maxValue="271447.90000000002"/>
    </cacheField>
    <cacheField name="performance_tier" numFmtId="0">
      <sharedItems count="4">
        <s v="Platinum"/>
        <s v="Gold"/>
        <s v="Silver"/>
        <s v="Bronze"/>
      </sharedItems>
    </cacheField>
    <cacheField name="bonus_payout" numFmtId="11">
      <sharedItems containsSemiMixedTypes="0" containsString="0" containsNumber="1" containsInteger="1" minValue="4760000" maxValue="22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3.530944444443" createdVersion="8" refreshedVersion="8" minRefreshableVersion="3" recordCount="200" xr:uid="{0800BCAA-0A7D-4F1B-A735-CBAA3BD9A676}">
  <cacheSource type="worksheet">
    <worksheetSource ref="A1:G201" sheet="Doctor_Segmentation"/>
  </cacheSource>
  <cacheFields count="7">
    <cacheField name="doctor_id" numFmtId="0">
      <sharedItems containsSemiMixedTypes="0" containsString="0" containsNumber="1" containsInteger="1" minValue="1" maxValue="200"/>
    </cacheField>
    <cacheField name="doctor_name" numFmtId="0">
      <sharedItems/>
    </cacheField>
    <cacheField name="specialization" numFmtId="0">
      <sharedItems count="7">
        <s v="Pulmonologist"/>
        <s v="General Physician"/>
        <s v="Endocrinologist"/>
        <s v="Cardiologist"/>
        <s v="Orthopedic"/>
        <s v="Neurologist"/>
        <s v="Dermatologist"/>
      </sharedItems>
    </cacheField>
    <cacheField name="total_orders" numFmtId="0">
      <sharedItems containsSemiMixedTypes="0" containsString="0" containsNumber="1" containsInteger="1" minValue="211" maxValue="299"/>
    </cacheField>
    <cacheField name="total_revenue_generated" numFmtId="0">
      <sharedItems containsSemiMixedTypes="0" containsString="0" containsNumber="1" containsInteger="1" minValue="49460876" maxValue="88098210"/>
    </cacheField>
    <cacheField name="percentile_rank" numFmtId="0">
      <sharedItems containsSemiMixedTypes="0" containsString="0" containsNumber="1" minValue="0" maxValue="100"/>
    </cacheField>
    <cacheField name="segment" numFmtId="0">
      <sharedItems count="4">
        <s v="Key Opinion Leader"/>
        <s v="High Value"/>
        <s v="Standard"/>
        <s v="Low Engagement"/>
      </sharedItems>
    </cacheField>
  </cacheFields>
  <extLst>
    <ext xmlns:x14="http://schemas.microsoft.com/office/spreadsheetml/2009/9/main" uri="{725AE2AE-9491-48be-B2B4-4EB974FC3084}">
      <x14:pivotCacheDefinition pivotCacheId="11622637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7"/>
    <s v="Sean Fisher DVM"/>
    <s v="East Zone"/>
    <n v="1046"/>
    <n v="275000000"/>
    <n v="262823.90000000002"/>
    <x v="0"/>
    <n v="22000000"/>
  </r>
  <r>
    <n v="50"/>
    <s v="Monica Collins"/>
    <s v="North Zone"/>
    <n v="1035"/>
    <n v="274000000"/>
    <n v="264702.40000000002"/>
    <x v="0"/>
    <n v="21920000"/>
  </r>
  <r>
    <n v="11"/>
    <s v="Christopher Ryan"/>
    <s v="North Zone"/>
    <n v="1005"/>
    <n v="273000000"/>
    <n v="271447.90000000002"/>
    <x v="0"/>
    <n v="21840000"/>
  </r>
  <r>
    <n v="49"/>
    <s v="Haley Smith"/>
    <s v="East Zone"/>
    <n v="1020"/>
    <n v="272000000"/>
    <n v="266970.8"/>
    <x v="0"/>
    <n v="21760000"/>
  </r>
  <r>
    <n v="31"/>
    <s v="Courtney Bryant"/>
    <s v="South Zone"/>
    <n v="1034"/>
    <n v="272000000"/>
    <n v="262828.3"/>
    <x v="0"/>
    <n v="21760000"/>
  </r>
  <r>
    <n v="35"/>
    <s v="David Collins"/>
    <s v="North Zone"/>
    <n v="1051"/>
    <n v="270000000"/>
    <n v="257258.5"/>
    <x v="0"/>
    <n v="21600000"/>
  </r>
  <r>
    <n v="34"/>
    <s v="Steven Shelton"/>
    <s v="North Zone"/>
    <n v="1012"/>
    <n v="270000000"/>
    <n v="267039.7"/>
    <x v="0"/>
    <n v="21600000"/>
  </r>
  <r>
    <n v="12"/>
    <s v="Tonya Holland"/>
    <s v="South Zone"/>
    <n v="1053"/>
    <n v="270000000"/>
    <n v="256136"/>
    <x v="0"/>
    <n v="21600000"/>
  </r>
  <r>
    <n v="45"/>
    <s v="Marc Watson"/>
    <s v="North-East Zone"/>
    <n v="1047"/>
    <n v="269000000"/>
    <n v="256679.7"/>
    <x v="0"/>
    <n v="21520000"/>
  </r>
  <r>
    <n v="41"/>
    <s v="Mr. Travis Nguyen"/>
    <s v="East Zone"/>
    <n v="1026"/>
    <n v="268000000"/>
    <n v="261208.9"/>
    <x v="0"/>
    <n v="21440000"/>
  </r>
  <r>
    <n v="39"/>
    <s v="Thomas Ross"/>
    <s v="East Zone"/>
    <n v="1001"/>
    <n v="267000000"/>
    <n v="267145.5"/>
    <x v="0"/>
    <n v="21360000"/>
  </r>
  <r>
    <n v="43"/>
    <s v="Christian Holland"/>
    <s v="North-East Zone"/>
    <n v="1042"/>
    <n v="267000000"/>
    <n v="256560.1"/>
    <x v="0"/>
    <n v="21360000"/>
  </r>
  <r>
    <n v="22"/>
    <s v="Michele Stewart"/>
    <s v="South Zone"/>
    <n v="1011"/>
    <n v="267000000"/>
    <n v="264167.7"/>
    <x v="0"/>
    <n v="21360000"/>
  </r>
  <r>
    <n v="8"/>
    <s v="Madison Boyd"/>
    <s v="East Zone"/>
    <n v="1020"/>
    <n v="267000000"/>
    <n v="261740.2"/>
    <x v="0"/>
    <n v="21360000"/>
  </r>
  <r>
    <n v="30"/>
    <s v="Melissa Thompson"/>
    <s v="East Zone"/>
    <n v="1039"/>
    <n v="266000000"/>
    <n v="256008.8"/>
    <x v="0"/>
    <n v="21280000"/>
  </r>
  <r>
    <n v="9"/>
    <s v="Rebecca Robinson"/>
    <s v="East Zone"/>
    <n v="1000"/>
    <n v="265000000"/>
    <n v="264635.7"/>
    <x v="1"/>
    <n v="15900000"/>
  </r>
  <r>
    <n v="14"/>
    <s v="Rebecca Miller"/>
    <s v="North Zone"/>
    <n v="1033"/>
    <n v="265000000"/>
    <n v="256112.2"/>
    <x v="1"/>
    <n v="15900000"/>
  </r>
  <r>
    <n v="1"/>
    <s v="Christian Johnson"/>
    <s v="Central Zone"/>
    <n v="1028"/>
    <n v="265000000"/>
    <n v="257300"/>
    <x v="1"/>
    <n v="15900000"/>
  </r>
  <r>
    <n v="16"/>
    <s v="Thomas Harmon"/>
    <s v="East Zone"/>
    <n v="1047"/>
    <n v="264000000"/>
    <n v="252237.6"/>
    <x v="1"/>
    <n v="15840000"/>
  </r>
  <r>
    <n v="46"/>
    <s v="Bonnie Hall"/>
    <s v="Central Zone"/>
    <n v="1000"/>
    <n v="263000000"/>
    <n v="262922.09999999998"/>
    <x v="1"/>
    <n v="15780000"/>
  </r>
  <r>
    <n v="28"/>
    <s v="Laurie Ramirez"/>
    <s v="West Zone"/>
    <n v="1004"/>
    <n v="263000000"/>
    <n v="261803.6"/>
    <x v="1"/>
    <n v="15780000"/>
  </r>
  <r>
    <n v="4"/>
    <s v="Meghan Hernandez"/>
    <s v="North Zone"/>
    <n v="998"/>
    <n v="261000000"/>
    <n v="261511.6"/>
    <x v="1"/>
    <n v="15660000"/>
  </r>
  <r>
    <n v="13"/>
    <s v="Melinda Buck"/>
    <s v="Central Zone"/>
    <n v="984"/>
    <n v="260000000"/>
    <n v="263887.2"/>
    <x v="1"/>
    <n v="15600000"/>
  </r>
  <r>
    <n v="24"/>
    <s v="James Vasquez"/>
    <s v="East Zone"/>
    <n v="1012"/>
    <n v="259000000"/>
    <n v="255866.4"/>
    <x v="1"/>
    <n v="15540000"/>
  </r>
  <r>
    <n v="40"/>
    <s v="Carlos Davis"/>
    <s v="Central Zone"/>
    <n v="1001"/>
    <n v="258000000"/>
    <n v="258074.9"/>
    <x v="1"/>
    <n v="15480000"/>
  </r>
  <r>
    <n v="42"/>
    <s v="Dr. Tyler Adams DVM"/>
    <s v="Central Zone"/>
    <n v="988"/>
    <n v="258000000"/>
    <n v="261150.6"/>
    <x v="1"/>
    <n v="15480000"/>
  </r>
  <r>
    <n v="32"/>
    <s v="Samantha Garcia"/>
    <s v="West Zone"/>
    <n v="1042"/>
    <n v="258000000"/>
    <n v="247216.6"/>
    <x v="1"/>
    <n v="15480000"/>
  </r>
  <r>
    <n v="23"/>
    <s v="Michelle Mitchell"/>
    <s v="Central Zone"/>
    <n v="1024"/>
    <n v="257000000"/>
    <n v="251045.5"/>
    <x v="1"/>
    <n v="15420000"/>
  </r>
  <r>
    <n v="38"/>
    <s v="Brooke Allen"/>
    <s v="South Zone"/>
    <n v="988"/>
    <n v="256000000"/>
    <n v="259553.2"/>
    <x v="1"/>
    <n v="15360000"/>
  </r>
  <r>
    <n v="47"/>
    <s v="Teresa Townsend"/>
    <s v="West Zone"/>
    <n v="1024"/>
    <n v="256000000"/>
    <n v="249981"/>
    <x v="1"/>
    <n v="15360000"/>
  </r>
  <r>
    <n v="25"/>
    <s v="Nicole Navarro"/>
    <s v="South Zone"/>
    <n v="955"/>
    <n v="254000000"/>
    <n v="266487.7"/>
    <x v="2"/>
    <n v="10160000"/>
  </r>
  <r>
    <n v="6"/>
    <s v="Jennifer Pruitt"/>
    <s v="West Zone"/>
    <n v="997"/>
    <n v="254000000"/>
    <n v="255148.4"/>
    <x v="2"/>
    <n v="10160000"/>
  </r>
  <r>
    <n v="21"/>
    <s v="Charles Gordon"/>
    <s v="Central Zone"/>
    <n v="991"/>
    <n v="254000000"/>
    <n v="256524.9"/>
    <x v="2"/>
    <n v="10160000"/>
  </r>
  <r>
    <n v="18"/>
    <s v="Briana Hart"/>
    <s v="South Zone"/>
    <n v="989"/>
    <n v="253000000"/>
    <n v="255679.3"/>
    <x v="2"/>
    <n v="10120000"/>
  </r>
  <r>
    <n v="20"/>
    <s v="Jennifer Hancock"/>
    <s v="East Zone"/>
    <n v="997"/>
    <n v="252000000"/>
    <n v="253166.8"/>
    <x v="2"/>
    <n v="10080000"/>
  </r>
  <r>
    <n v="3"/>
    <s v="Debra Greer"/>
    <s v="North-East Zone"/>
    <n v="989"/>
    <n v="252000000"/>
    <n v="254701.5"/>
    <x v="2"/>
    <n v="10080000"/>
  </r>
  <r>
    <n v="10"/>
    <s v="Victoria Nelson"/>
    <s v="South Zone"/>
    <n v="981"/>
    <n v="250000000"/>
    <n v="254821.6"/>
    <x v="2"/>
    <n v="10000000"/>
  </r>
  <r>
    <n v="37"/>
    <s v="Kelly Brooks"/>
    <s v="North Zone"/>
    <n v="988"/>
    <n v="250000000"/>
    <n v="252774.2"/>
    <x v="2"/>
    <n v="10000000"/>
  </r>
  <r>
    <n v="33"/>
    <s v="Timothy Hall"/>
    <s v="North Zone"/>
    <n v="989"/>
    <n v="250000000"/>
    <n v="252345.5"/>
    <x v="2"/>
    <n v="10000000"/>
  </r>
  <r>
    <n v="26"/>
    <s v="Roberta Adams"/>
    <s v="North-East Zone"/>
    <n v="964"/>
    <n v="249000000"/>
    <n v="258781.2"/>
    <x v="2"/>
    <n v="9960000"/>
  </r>
  <r>
    <n v="36"/>
    <s v="Edward Alvarez"/>
    <s v="West Zone"/>
    <n v="976"/>
    <n v="248000000"/>
    <n v="254440.9"/>
    <x v="2"/>
    <n v="9920000"/>
  </r>
  <r>
    <n v="48"/>
    <s v="Sarah Short"/>
    <s v="North Zone"/>
    <n v="981"/>
    <n v="248000000"/>
    <n v="252441.2"/>
    <x v="2"/>
    <n v="9920000"/>
  </r>
  <r>
    <n v="29"/>
    <s v="Richard Lawrence"/>
    <s v="South Zone"/>
    <n v="980"/>
    <n v="247000000"/>
    <n v="252254.4"/>
    <x v="2"/>
    <n v="9880000"/>
  </r>
  <r>
    <n v="2"/>
    <s v="Crystal Larson"/>
    <s v="Central Zone"/>
    <n v="1000"/>
    <n v="247000000"/>
    <n v="246635.6"/>
    <x v="2"/>
    <n v="9880000"/>
  </r>
  <r>
    <n v="27"/>
    <s v="Craig Blanchard"/>
    <s v="East Zone"/>
    <n v="1033"/>
    <n v="243000000"/>
    <n v="235402.1"/>
    <x v="3"/>
    <n v="4860000"/>
  </r>
  <r>
    <n v="15"/>
    <s v="Kurt Clarke"/>
    <s v="North Zone"/>
    <n v="962"/>
    <n v="243000000"/>
    <n v="252103.2"/>
    <x v="3"/>
    <n v="4860000"/>
  </r>
  <r>
    <n v="44"/>
    <s v="Theresa Long"/>
    <s v="West Zone"/>
    <n v="996"/>
    <n v="241000000"/>
    <n v="242135.1"/>
    <x v="3"/>
    <n v="4820000"/>
  </r>
  <r>
    <n v="19"/>
    <s v="Wesley Brown"/>
    <s v="East Zone"/>
    <n v="954"/>
    <n v="241000000"/>
    <n v="252361.9"/>
    <x v="3"/>
    <n v="4820000"/>
  </r>
  <r>
    <n v="5"/>
    <s v="Michael Goodwin"/>
    <s v="East Zone"/>
    <n v="1004"/>
    <n v="241000000"/>
    <n v="239589.4"/>
    <x v="3"/>
    <n v="4820000"/>
  </r>
  <r>
    <n v="17"/>
    <s v="Cynthia Nguyen"/>
    <s v="North Zone"/>
    <n v="959"/>
    <n v="238000000"/>
    <n v="247684"/>
    <x v="3"/>
    <n v="476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35"/>
    <s v="Dr. Dana Jennings"/>
    <x v="0"/>
    <n v="297"/>
    <n v="88098210"/>
    <n v="100"/>
    <x v="0"/>
  </r>
  <r>
    <n v="43"/>
    <s v="Dr. Jamie Robertson"/>
    <x v="1"/>
    <n v="299"/>
    <n v="78181025"/>
    <n v="99.4"/>
    <x v="0"/>
  </r>
  <r>
    <n v="4"/>
    <s v="Dr. Timothy Reynolds"/>
    <x v="1"/>
    <n v="281"/>
    <n v="77144978"/>
    <n v="98.9"/>
    <x v="0"/>
  </r>
  <r>
    <n v="72"/>
    <s v="Dr. William Gutierrez"/>
    <x v="0"/>
    <n v="291"/>
    <n v="75080065"/>
    <n v="98.4"/>
    <x v="0"/>
  </r>
  <r>
    <n v="78"/>
    <s v="Dr. Donna Watson"/>
    <x v="2"/>
    <n v="272"/>
    <n v="74891148"/>
    <n v="97.9"/>
    <x v="0"/>
  </r>
  <r>
    <n v="200"/>
    <s v="Dr. David Williams"/>
    <x v="1"/>
    <n v="256"/>
    <n v="74290109"/>
    <n v="97.4"/>
    <x v="0"/>
  </r>
  <r>
    <n v="158"/>
    <s v="Dr. Michael Peterson"/>
    <x v="1"/>
    <n v="277"/>
    <n v="73927676"/>
    <n v="96.9"/>
    <x v="0"/>
  </r>
  <r>
    <n v="184"/>
    <s v="Dr. Kevin Benson"/>
    <x v="2"/>
    <n v="252"/>
    <n v="73618931"/>
    <n v="96.4"/>
    <x v="0"/>
  </r>
  <r>
    <n v="140"/>
    <s v="Dr. Trevor Ross"/>
    <x v="3"/>
    <n v="261"/>
    <n v="73568567"/>
    <n v="95.9"/>
    <x v="0"/>
  </r>
  <r>
    <n v="62"/>
    <s v="Dr. Laurie Pierce"/>
    <x v="4"/>
    <n v="270"/>
    <n v="73451920"/>
    <n v="95.4"/>
    <x v="0"/>
  </r>
  <r>
    <n v="104"/>
    <s v="Dr. Robin Brock"/>
    <x v="5"/>
    <n v="255"/>
    <n v="73435021"/>
    <n v="94.9"/>
    <x v="0"/>
  </r>
  <r>
    <n v="9"/>
    <s v="Dr. Mary Snow"/>
    <x v="3"/>
    <n v="284"/>
    <n v="73378397"/>
    <n v="94.4"/>
    <x v="0"/>
  </r>
  <r>
    <n v="128"/>
    <s v="Dr. Danielle Rodriguez"/>
    <x v="5"/>
    <n v="263"/>
    <n v="73353918"/>
    <n v="93.9"/>
    <x v="0"/>
  </r>
  <r>
    <n v="27"/>
    <s v="Dr. Kyle Kaiser"/>
    <x v="3"/>
    <n v="285"/>
    <n v="73284653"/>
    <n v="93.4"/>
    <x v="0"/>
  </r>
  <r>
    <n v="149"/>
    <s v="Dr. Craig Harris"/>
    <x v="2"/>
    <n v="259"/>
    <n v="73197531"/>
    <n v="92.9"/>
    <x v="0"/>
  </r>
  <r>
    <n v="40"/>
    <s v="Dr. Hannah Campbell"/>
    <x v="1"/>
    <n v="251"/>
    <n v="73087070"/>
    <n v="92.4"/>
    <x v="0"/>
  </r>
  <r>
    <n v="110"/>
    <s v="Dr. Perry Black"/>
    <x v="2"/>
    <n v="246"/>
    <n v="73028197"/>
    <n v="91.9"/>
    <x v="0"/>
  </r>
  <r>
    <n v="94"/>
    <s v="Dr. Jenna Ramsey"/>
    <x v="2"/>
    <n v="269"/>
    <n v="72660295"/>
    <n v="91.4"/>
    <x v="0"/>
  </r>
  <r>
    <n v="36"/>
    <s v="Dr. Michelle Johnson"/>
    <x v="6"/>
    <n v="267"/>
    <n v="72652546"/>
    <n v="90.9"/>
    <x v="0"/>
  </r>
  <r>
    <n v="150"/>
    <s v="Dr. Amanda Rose MD"/>
    <x v="4"/>
    <n v="244"/>
    <n v="72214551"/>
    <n v="90.4"/>
    <x v="0"/>
  </r>
  <r>
    <n v="187"/>
    <s v="Dr. Shane Greene"/>
    <x v="5"/>
    <n v="286"/>
    <n v="72214199"/>
    <n v="89.9"/>
    <x v="1"/>
  </r>
  <r>
    <n v="172"/>
    <s v="Dr. Marc Glenn"/>
    <x v="1"/>
    <n v="286"/>
    <n v="71932372"/>
    <n v="89.4"/>
    <x v="1"/>
  </r>
  <r>
    <n v="166"/>
    <s v="Dr. Ronald Young"/>
    <x v="0"/>
    <n v="267"/>
    <n v="71851766"/>
    <n v="88.9"/>
    <x v="1"/>
  </r>
  <r>
    <n v="193"/>
    <s v="Dr. Jean Brown"/>
    <x v="1"/>
    <n v="254"/>
    <n v="71392796"/>
    <n v="88.4"/>
    <x v="1"/>
  </r>
  <r>
    <n v="61"/>
    <s v="Dr. Wyatt Cortez"/>
    <x v="3"/>
    <n v="264"/>
    <n v="71242534"/>
    <n v="87.9"/>
    <x v="1"/>
  </r>
  <r>
    <n v="22"/>
    <s v="Dr. Amanda Lloyd"/>
    <x v="5"/>
    <n v="261"/>
    <n v="71201455"/>
    <n v="87.4"/>
    <x v="1"/>
  </r>
  <r>
    <n v="51"/>
    <s v="Dr. Brandy Moreno"/>
    <x v="1"/>
    <n v="243"/>
    <n v="71032175"/>
    <n v="86.9"/>
    <x v="1"/>
  </r>
  <r>
    <n v="103"/>
    <s v="Dr. Laura Garner"/>
    <x v="3"/>
    <n v="278"/>
    <n v="70781765"/>
    <n v="86.4"/>
    <x v="1"/>
  </r>
  <r>
    <n v="26"/>
    <s v="Dr. Robert Gomez"/>
    <x v="0"/>
    <n v="263"/>
    <n v="70771950"/>
    <n v="85.9"/>
    <x v="1"/>
  </r>
  <r>
    <n v="197"/>
    <s v="Dr. Kevin Lee"/>
    <x v="1"/>
    <n v="280"/>
    <n v="70669748"/>
    <n v="85.4"/>
    <x v="1"/>
  </r>
  <r>
    <n v="48"/>
    <s v="Dr. Eric Howe"/>
    <x v="5"/>
    <n v="278"/>
    <n v="70420314"/>
    <n v="84.9"/>
    <x v="1"/>
  </r>
  <r>
    <n v="125"/>
    <s v="Dr. Scott Pineda"/>
    <x v="6"/>
    <n v="259"/>
    <n v="70397184"/>
    <n v="84.4"/>
    <x v="1"/>
  </r>
  <r>
    <n v="41"/>
    <s v="Dr. Jennifer Snow"/>
    <x v="4"/>
    <n v="259"/>
    <n v="70323137"/>
    <n v="83.9"/>
    <x v="1"/>
  </r>
  <r>
    <n v="38"/>
    <s v="Dr. Stephen Wolf"/>
    <x v="3"/>
    <n v="272"/>
    <n v="70221590"/>
    <n v="83.4"/>
    <x v="1"/>
  </r>
  <r>
    <n v="33"/>
    <s v="Dr. Terri Roberts"/>
    <x v="1"/>
    <n v="269"/>
    <n v="70216669"/>
    <n v="82.9"/>
    <x v="1"/>
  </r>
  <r>
    <n v="91"/>
    <s v="Dr. Shannon Turner"/>
    <x v="0"/>
    <n v="274"/>
    <n v="70019416"/>
    <n v="82.4"/>
    <x v="1"/>
  </r>
  <r>
    <n v="130"/>
    <s v="Dr. Cody Mccoy"/>
    <x v="6"/>
    <n v="255"/>
    <n v="69750989"/>
    <n v="81.900000000000006"/>
    <x v="1"/>
  </r>
  <r>
    <n v="145"/>
    <s v="Dr. William Morse"/>
    <x v="3"/>
    <n v="273"/>
    <n v="69605922"/>
    <n v="81.400000000000006"/>
    <x v="1"/>
  </r>
  <r>
    <n v="141"/>
    <s v="Dr. Sherri Gray"/>
    <x v="5"/>
    <n v="253"/>
    <n v="69603250"/>
    <n v="80.900000000000006"/>
    <x v="1"/>
  </r>
  <r>
    <n v="111"/>
    <s v="Dr. Scott Bond"/>
    <x v="3"/>
    <n v="257"/>
    <n v="69551185"/>
    <n v="80.400000000000006"/>
    <x v="1"/>
  </r>
  <r>
    <n v="77"/>
    <s v="Dr. David Anderson"/>
    <x v="1"/>
    <n v="277"/>
    <n v="69495039"/>
    <n v="79.8"/>
    <x v="1"/>
  </r>
  <r>
    <n v="88"/>
    <s v="Dr. Lauren James"/>
    <x v="5"/>
    <n v="277"/>
    <n v="69244976"/>
    <n v="79.3"/>
    <x v="1"/>
  </r>
  <r>
    <n v="131"/>
    <s v="Dr. Andrea Bass"/>
    <x v="1"/>
    <n v="254"/>
    <n v="69158992"/>
    <n v="78.8"/>
    <x v="1"/>
  </r>
  <r>
    <n v="196"/>
    <s v="Dr. Gabriel Jones"/>
    <x v="3"/>
    <n v="270"/>
    <n v="69122003"/>
    <n v="78.3"/>
    <x v="1"/>
  </r>
  <r>
    <n v="47"/>
    <s v="Dr. Rebecca Nicholson"/>
    <x v="3"/>
    <n v="266"/>
    <n v="68805987"/>
    <n v="77.8"/>
    <x v="1"/>
  </r>
  <r>
    <n v="68"/>
    <s v="Dr. Bobby Walker"/>
    <x v="1"/>
    <n v="250"/>
    <n v="68687733"/>
    <n v="77.3"/>
    <x v="1"/>
  </r>
  <r>
    <n v="85"/>
    <s v="Dr. Joshua Wilson"/>
    <x v="0"/>
    <n v="245"/>
    <n v="68435495"/>
    <n v="76.8"/>
    <x v="1"/>
  </r>
  <r>
    <n v="75"/>
    <s v="Dr. Charles Moore"/>
    <x v="4"/>
    <n v="250"/>
    <n v="68421249"/>
    <n v="76.3"/>
    <x v="1"/>
  </r>
  <r>
    <n v="8"/>
    <s v="Dr. Samuel Powers"/>
    <x v="3"/>
    <n v="265"/>
    <n v="68328810"/>
    <n v="75.8"/>
    <x v="1"/>
  </r>
  <r>
    <n v="156"/>
    <s v="Dr. Darren Hall"/>
    <x v="0"/>
    <n v="263"/>
    <n v="68274118"/>
    <n v="75.3"/>
    <x v="1"/>
  </r>
  <r>
    <n v="160"/>
    <s v="Dr. Michael Cardenas"/>
    <x v="3"/>
    <n v="272"/>
    <n v="68264653"/>
    <n v="74.8"/>
    <x v="1"/>
  </r>
  <r>
    <n v="60"/>
    <s v="Dr. Glenn Lawrence"/>
    <x v="0"/>
    <n v="250"/>
    <n v="68167135"/>
    <n v="74.3"/>
    <x v="1"/>
  </r>
  <r>
    <n v="1"/>
    <s v="Dr. Valerie Jensen"/>
    <x v="3"/>
    <n v="255"/>
    <n v="68117765"/>
    <n v="73.8"/>
    <x v="1"/>
  </r>
  <r>
    <n v="183"/>
    <s v="Dr. Dennis Turner"/>
    <x v="3"/>
    <n v="259"/>
    <n v="68090232"/>
    <n v="73.3"/>
    <x v="1"/>
  </r>
  <r>
    <n v="23"/>
    <s v="Dr. Mary Cruz"/>
    <x v="3"/>
    <n v="256"/>
    <n v="68046401"/>
    <n v="72.8"/>
    <x v="1"/>
  </r>
  <r>
    <n v="29"/>
    <s v="Dr. Olivia Herrera MD"/>
    <x v="2"/>
    <n v="242"/>
    <n v="68027236"/>
    <n v="72.3"/>
    <x v="1"/>
  </r>
  <r>
    <n v="19"/>
    <s v="Dr. Paul Oconnor"/>
    <x v="1"/>
    <n v="263"/>
    <n v="67930785"/>
    <n v="71.8"/>
    <x v="1"/>
  </r>
  <r>
    <n v="182"/>
    <s v="Dr. Lisa Michael"/>
    <x v="3"/>
    <n v="272"/>
    <n v="67827850"/>
    <n v="71.3"/>
    <x v="1"/>
  </r>
  <r>
    <n v="176"/>
    <s v="Dr. Phillip Lowery"/>
    <x v="1"/>
    <n v="246"/>
    <n v="67806712"/>
    <n v="70.8"/>
    <x v="1"/>
  </r>
  <r>
    <n v="39"/>
    <s v="Dr. Virginia Watson"/>
    <x v="1"/>
    <n v="249"/>
    <n v="67572225"/>
    <n v="70.3"/>
    <x v="1"/>
  </r>
  <r>
    <n v="129"/>
    <s v="Dr. Paul Duarte"/>
    <x v="3"/>
    <n v="262"/>
    <n v="67400879"/>
    <n v="69.8"/>
    <x v="2"/>
  </r>
  <r>
    <n v="122"/>
    <s v="Dr. Travis Hernandez"/>
    <x v="3"/>
    <n v="262"/>
    <n v="67376740"/>
    <n v="69.3"/>
    <x v="2"/>
  </r>
  <r>
    <n v="37"/>
    <s v="Dr. Amber Ross"/>
    <x v="1"/>
    <n v="273"/>
    <n v="66991530"/>
    <n v="68.8"/>
    <x v="2"/>
  </r>
  <r>
    <n v="155"/>
    <s v="Dr. Felicia Vargas"/>
    <x v="1"/>
    <n v="265"/>
    <n v="66919756"/>
    <n v="68.3"/>
    <x v="2"/>
  </r>
  <r>
    <n v="105"/>
    <s v="Dr. Morgan Boone"/>
    <x v="1"/>
    <n v="250"/>
    <n v="66901749"/>
    <n v="67.8"/>
    <x v="2"/>
  </r>
  <r>
    <n v="52"/>
    <s v="Dr. Jessica Chang"/>
    <x v="4"/>
    <n v="246"/>
    <n v="66865282"/>
    <n v="67.3"/>
    <x v="2"/>
  </r>
  <r>
    <n v="86"/>
    <s v="Dr. Kent Freeman"/>
    <x v="3"/>
    <n v="259"/>
    <n v="66822944"/>
    <n v="66.8"/>
    <x v="2"/>
  </r>
  <r>
    <n v="102"/>
    <s v="Dr. Timothy French"/>
    <x v="3"/>
    <n v="264"/>
    <n v="66804375"/>
    <n v="66.3"/>
    <x v="2"/>
  </r>
  <r>
    <n v="69"/>
    <s v="Dr. Eric Giles"/>
    <x v="2"/>
    <n v="265"/>
    <n v="66773656"/>
    <n v="65.8"/>
    <x v="2"/>
  </r>
  <r>
    <n v="10"/>
    <s v="Dr. Cynthia Anderson"/>
    <x v="3"/>
    <n v="258"/>
    <n v="66746431"/>
    <n v="65.3"/>
    <x v="2"/>
  </r>
  <r>
    <n v="79"/>
    <s v="Dr. Jocelyn Charles"/>
    <x v="3"/>
    <n v="270"/>
    <n v="66733006"/>
    <n v="64.8"/>
    <x v="2"/>
  </r>
  <r>
    <n v="98"/>
    <s v="Dr. Christian Shelton"/>
    <x v="4"/>
    <n v="245"/>
    <n v="66691396"/>
    <n v="64.3"/>
    <x v="2"/>
  </r>
  <r>
    <n v="116"/>
    <s v="Dr. Isaac Smith"/>
    <x v="1"/>
    <n v="273"/>
    <n v="66678757"/>
    <n v="63.8"/>
    <x v="2"/>
  </r>
  <r>
    <n v="73"/>
    <s v="Dr. Jose Crawford"/>
    <x v="1"/>
    <n v="265"/>
    <n v="66498845"/>
    <n v="63.3"/>
    <x v="2"/>
  </r>
  <r>
    <n v="113"/>
    <s v="Dr. Brady Padilla"/>
    <x v="4"/>
    <n v="253"/>
    <n v="66460604"/>
    <n v="62.8"/>
    <x v="2"/>
  </r>
  <r>
    <n v="96"/>
    <s v="Dr. Andrew Hahn"/>
    <x v="3"/>
    <n v="258"/>
    <n v="66321914"/>
    <n v="62.3"/>
    <x v="2"/>
  </r>
  <r>
    <n v="53"/>
    <s v="Dr. Randy Warner"/>
    <x v="3"/>
    <n v="262"/>
    <n v="66279299"/>
    <n v="61.8"/>
    <x v="2"/>
  </r>
  <r>
    <n v="18"/>
    <s v="Dr. Ashley Miller"/>
    <x v="4"/>
    <n v="264"/>
    <n v="66253381"/>
    <n v="61.3"/>
    <x v="2"/>
  </r>
  <r>
    <n v="99"/>
    <s v="Dr. Robin Mora"/>
    <x v="1"/>
    <n v="263"/>
    <n v="66248107"/>
    <n v="60.8"/>
    <x v="2"/>
  </r>
  <r>
    <n v="198"/>
    <s v="Dr. David Wise"/>
    <x v="0"/>
    <n v="241"/>
    <n v="66241130"/>
    <n v="60.3"/>
    <x v="2"/>
  </r>
  <r>
    <n v="101"/>
    <s v="Dr. Abigail Miller"/>
    <x v="1"/>
    <n v="248"/>
    <n v="66237125"/>
    <n v="59.7"/>
    <x v="2"/>
  </r>
  <r>
    <n v="121"/>
    <s v="Dr. Thomas Nelson"/>
    <x v="1"/>
    <n v="265"/>
    <n v="66084805"/>
    <n v="59.2"/>
    <x v="2"/>
  </r>
  <r>
    <n v="144"/>
    <s v="Dr. Matthew Sullivan"/>
    <x v="3"/>
    <n v="248"/>
    <n v="66022491"/>
    <n v="58.7"/>
    <x v="2"/>
  </r>
  <r>
    <n v="97"/>
    <s v="Dr. Shelby Gentry"/>
    <x v="5"/>
    <n v="237"/>
    <n v="65989941"/>
    <n v="58.2"/>
    <x v="2"/>
  </r>
  <r>
    <n v="90"/>
    <s v="Dr. Frank Arnold"/>
    <x v="2"/>
    <n v="266"/>
    <n v="65942066"/>
    <n v="57.7"/>
    <x v="2"/>
  </r>
  <r>
    <n v="112"/>
    <s v="Dr. Emily Rush"/>
    <x v="1"/>
    <n v="242"/>
    <n v="65930275"/>
    <n v="57.2"/>
    <x v="2"/>
  </r>
  <r>
    <n v="165"/>
    <s v="Dr. Brian Singh"/>
    <x v="1"/>
    <n v="268"/>
    <n v="65928130"/>
    <n v="56.7"/>
    <x v="2"/>
  </r>
  <r>
    <n v="115"/>
    <s v="Dr. April Collins"/>
    <x v="6"/>
    <n v="247"/>
    <n v="65851631"/>
    <n v="56.2"/>
    <x v="2"/>
  </r>
  <r>
    <n v="136"/>
    <s v="Dr. Alexander Ferguson"/>
    <x v="2"/>
    <n v="261"/>
    <n v="65609225"/>
    <n v="55.7"/>
    <x v="2"/>
  </r>
  <r>
    <n v="163"/>
    <s v="Dr. Laurie White"/>
    <x v="3"/>
    <n v="258"/>
    <n v="65499864"/>
    <n v="55.2"/>
    <x v="2"/>
  </r>
  <r>
    <n v="42"/>
    <s v="Dr. John Elliott"/>
    <x v="4"/>
    <n v="247"/>
    <n v="65198872"/>
    <n v="54.7"/>
    <x v="2"/>
  </r>
  <r>
    <n v="13"/>
    <s v="Dr. Justin Cruz"/>
    <x v="3"/>
    <n v="259"/>
    <n v="65069308"/>
    <n v="54.2"/>
    <x v="2"/>
  </r>
  <r>
    <n v="109"/>
    <s v="Dr. Connie Miller"/>
    <x v="1"/>
    <n v="259"/>
    <n v="64954483"/>
    <n v="53.7"/>
    <x v="2"/>
  </r>
  <r>
    <n v="173"/>
    <s v="Dr. Jasmine Chavez"/>
    <x v="5"/>
    <n v="256"/>
    <n v="64707513"/>
    <n v="53.2"/>
    <x v="2"/>
  </r>
  <r>
    <n v="84"/>
    <s v="Dr. Benjamin Powell"/>
    <x v="3"/>
    <n v="258"/>
    <n v="64670212"/>
    <n v="52.7"/>
    <x v="2"/>
  </r>
  <r>
    <n v="124"/>
    <s v="Dr. Jordan Adams"/>
    <x v="2"/>
    <n v="259"/>
    <n v="64596201"/>
    <n v="52.2"/>
    <x v="2"/>
  </r>
  <r>
    <n v="2"/>
    <s v="Dr. Ashley Holt"/>
    <x v="3"/>
    <n v="282"/>
    <n v="64502852"/>
    <n v="51.7"/>
    <x v="2"/>
  </r>
  <r>
    <n v="180"/>
    <s v="Dr. Stanley Martinez"/>
    <x v="0"/>
    <n v="257"/>
    <n v="64471589"/>
    <n v="51.2"/>
    <x v="2"/>
  </r>
  <r>
    <n v="152"/>
    <s v="Dr. Sandra Haney"/>
    <x v="1"/>
    <n v="261"/>
    <n v="64401639"/>
    <n v="50.7"/>
    <x v="2"/>
  </r>
  <r>
    <n v="95"/>
    <s v="Dr. Joel Murray"/>
    <x v="3"/>
    <n v="230"/>
    <n v="64374284"/>
    <n v="50.2"/>
    <x v="2"/>
  </r>
  <r>
    <n v="189"/>
    <s v="Dr. Annette Weaver"/>
    <x v="0"/>
    <n v="254"/>
    <n v="64357714"/>
    <n v="49.7"/>
    <x v="2"/>
  </r>
  <r>
    <n v="154"/>
    <s v="Dr. Edward Duffy"/>
    <x v="5"/>
    <n v="240"/>
    <n v="64348051"/>
    <n v="49.2"/>
    <x v="2"/>
  </r>
  <r>
    <n v="50"/>
    <s v="Dr. Kevin Thomas"/>
    <x v="0"/>
    <n v="261"/>
    <n v="64315089"/>
    <n v="48.7"/>
    <x v="2"/>
  </r>
  <r>
    <n v="161"/>
    <s v="Dr. Heather Meadows"/>
    <x v="3"/>
    <n v="250"/>
    <n v="64306708"/>
    <n v="48.2"/>
    <x v="2"/>
  </r>
  <r>
    <n v="199"/>
    <s v="Dr. Kayla Taylor"/>
    <x v="2"/>
    <n v="239"/>
    <n v="64269086"/>
    <n v="47.7"/>
    <x v="2"/>
  </r>
  <r>
    <n v="16"/>
    <s v="Dr. Melissa Henderson"/>
    <x v="1"/>
    <n v="246"/>
    <n v="64162248"/>
    <n v="47.2"/>
    <x v="2"/>
  </r>
  <r>
    <n v="7"/>
    <s v="Dr. Jessica Mcgee"/>
    <x v="1"/>
    <n v="262"/>
    <n v="64092936"/>
    <n v="46.7"/>
    <x v="2"/>
  </r>
  <r>
    <n v="93"/>
    <s v="Dr. Justin King"/>
    <x v="3"/>
    <n v="251"/>
    <n v="64023755"/>
    <n v="46.2"/>
    <x v="2"/>
  </r>
  <r>
    <n v="138"/>
    <s v="Dr. Frank Foster"/>
    <x v="3"/>
    <n v="246"/>
    <n v="63872835"/>
    <n v="45.7"/>
    <x v="2"/>
  </r>
  <r>
    <n v="117"/>
    <s v="Dr. Rebecca Roman"/>
    <x v="5"/>
    <n v="243"/>
    <n v="63863616"/>
    <n v="45.2"/>
    <x v="2"/>
  </r>
  <r>
    <n v="120"/>
    <s v="Dr. Brian Pacheco"/>
    <x v="3"/>
    <n v="244"/>
    <n v="63756813"/>
    <n v="44.7"/>
    <x v="2"/>
  </r>
  <r>
    <n v="179"/>
    <s v="Dr. Samantha Ford"/>
    <x v="2"/>
    <n v="242"/>
    <n v="63340865"/>
    <n v="44.2"/>
    <x v="2"/>
  </r>
  <r>
    <n v="148"/>
    <s v="Dr. John Andrews"/>
    <x v="1"/>
    <n v="239"/>
    <n v="63314183"/>
    <n v="43.7"/>
    <x v="2"/>
  </r>
  <r>
    <n v="87"/>
    <s v="Dr. Patricia Tucker"/>
    <x v="3"/>
    <n v="263"/>
    <n v="63267503"/>
    <n v="43.2"/>
    <x v="2"/>
  </r>
  <r>
    <n v="59"/>
    <s v="Dr. Gabrielle Johnson"/>
    <x v="3"/>
    <n v="261"/>
    <n v="63091545"/>
    <n v="42.7"/>
    <x v="2"/>
  </r>
  <r>
    <n v="56"/>
    <s v="Dr. Ashley Campbell"/>
    <x v="2"/>
    <n v="241"/>
    <n v="63019023"/>
    <n v="42.2"/>
    <x v="2"/>
  </r>
  <r>
    <n v="134"/>
    <s v="Dr. Amber Burns"/>
    <x v="2"/>
    <n v="242"/>
    <n v="62992619"/>
    <n v="41.7"/>
    <x v="2"/>
  </r>
  <r>
    <n v="92"/>
    <s v="Dr. Charles Lloyd"/>
    <x v="0"/>
    <n v="266"/>
    <n v="62946661"/>
    <n v="41.2"/>
    <x v="2"/>
  </r>
  <r>
    <n v="24"/>
    <s v="Dr. Joseph Russell"/>
    <x v="2"/>
    <n v="236"/>
    <n v="62805621"/>
    <n v="40.700000000000003"/>
    <x v="2"/>
  </r>
  <r>
    <n v="168"/>
    <s v="Dr. Thomas Nelson"/>
    <x v="3"/>
    <n v="252"/>
    <n v="62695429"/>
    <n v="40.200000000000003"/>
    <x v="2"/>
  </r>
  <r>
    <n v="25"/>
    <s v="Dr. Michelle Gross"/>
    <x v="5"/>
    <n v="247"/>
    <n v="62691174"/>
    <n v="39.6"/>
    <x v="2"/>
  </r>
  <r>
    <n v="143"/>
    <s v="Dr. David Jones"/>
    <x v="2"/>
    <n v="258"/>
    <n v="62637232"/>
    <n v="39.1"/>
    <x v="2"/>
  </r>
  <r>
    <n v="127"/>
    <s v="Dr. Kelly Smith"/>
    <x v="0"/>
    <n v="241"/>
    <n v="62542284"/>
    <n v="38.6"/>
    <x v="2"/>
  </r>
  <r>
    <n v="177"/>
    <s v="Dr. Timothy Jordan"/>
    <x v="2"/>
    <n v="241"/>
    <n v="62436515"/>
    <n v="38.1"/>
    <x v="2"/>
  </r>
  <r>
    <n v="167"/>
    <s v="Dr. Cindy Bradley MD"/>
    <x v="2"/>
    <n v="235"/>
    <n v="62366038"/>
    <n v="37.6"/>
    <x v="2"/>
  </r>
  <r>
    <n v="11"/>
    <s v="Dr. April Graham"/>
    <x v="3"/>
    <n v="252"/>
    <n v="62351882"/>
    <n v="37.1"/>
    <x v="2"/>
  </r>
  <r>
    <n v="65"/>
    <s v="Dr. Brent Lewis"/>
    <x v="5"/>
    <n v="245"/>
    <n v="62300874"/>
    <n v="36.6"/>
    <x v="2"/>
  </r>
  <r>
    <n v="194"/>
    <s v="Dr. Bobby Mullen"/>
    <x v="3"/>
    <n v="248"/>
    <n v="62271688"/>
    <n v="36.1"/>
    <x v="2"/>
  </r>
  <r>
    <n v="174"/>
    <s v="Dr. Michael Ritter"/>
    <x v="4"/>
    <n v="240"/>
    <n v="62108386"/>
    <n v="35.6"/>
    <x v="2"/>
  </r>
  <r>
    <n v="31"/>
    <s v="Dr. Michelle Moore"/>
    <x v="0"/>
    <n v="249"/>
    <n v="62065792"/>
    <n v="35.1"/>
    <x v="2"/>
  </r>
  <r>
    <n v="164"/>
    <s v="Dr. Veronica Lewis"/>
    <x v="2"/>
    <n v="241"/>
    <n v="62020596"/>
    <n v="34.6"/>
    <x v="2"/>
  </r>
  <r>
    <n v="151"/>
    <s v="Dr. Jessica Berry"/>
    <x v="4"/>
    <n v="251"/>
    <n v="62010407"/>
    <n v="34.1"/>
    <x v="2"/>
  </r>
  <r>
    <n v="191"/>
    <s v="Dr. Frank Munoz"/>
    <x v="2"/>
    <n v="250"/>
    <n v="61956869"/>
    <n v="33.6"/>
    <x v="2"/>
  </r>
  <r>
    <n v="14"/>
    <s v="Dr. Mary Fisher"/>
    <x v="2"/>
    <n v="261"/>
    <n v="61903497"/>
    <n v="33.1"/>
    <x v="2"/>
  </r>
  <r>
    <n v="54"/>
    <s v="Dr. Mr. Michael Garcia"/>
    <x v="3"/>
    <n v="241"/>
    <n v="61864708"/>
    <n v="32.6"/>
    <x v="2"/>
  </r>
  <r>
    <n v="185"/>
    <s v="Dr. Brian Phillips"/>
    <x v="1"/>
    <n v="230"/>
    <n v="61804536"/>
    <n v="32.1"/>
    <x v="2"/>
  </r>
  <r>
    <n v="49"/>
    <s v="Dr. Anthony Garrett"/>
    <x v="3"/>
    <n v="247"/>
    <n v="61740161"/>
    <n v="31.6"/>
    <x v="2"/>
  </r>
  <r>
    <n v="137"/>
    <s v="Dr. Gary Russell"/>
    <x v="3"/>
    <n v="250"/>
    <n v="61628650"/>
    <n v="31.1"/>
    <x v="2"/>
  </r>
  <r>
    <n v="63"/>
    <s v="Dr. Ryan Morales"/>
    <x v="5"/>
    <n v="242"/>
    <n v="61627112"/>
    <n v="30.6"/>
    <x v="2"/>
  </r>
  <r>
    <n v="57"/>
    <s v="Dr. Mr. Samuel Thomas"/>
    <x v="5"/>
    <n v="230"/>
    <n v="61572576"/>
    <n v="30.1"/>
    <x v="2"/>
  </r>
  <r>
    <n v="186"/>
    <s v="Dr. Maria Ward"/>
    <x v="1"/>
    <n v="227"/>
    <n v="61548657"/>
    <n v="29.6"/>
    <x v="3"/>
  </r>
  <r>
    <n v="80"/>
    <s v="Dr. Cathy Miller"/>
    <x v="1"/>
    <n v="241"/>
    <n v="61514535"/>
    <n v="29.1"/>
    <x v="3"/>
  </r>
  <r>
    <n v="66"/>
    <s v="Dr. Ricky Campbell"/>
    <x v="0"/>
    <n v="244"/>
    <n v="61422188"/>
    <n v="28.6"/>
    <x v="3"/>
  </r>
  <r>
    <n v="192"/>
    <s v="Dr. Amy Johnson"/>
    <x v="3"/>
    <n v="236"/>
    <n v="61412659"/>
    <n v="28.1"/>
    <x v="3"/>
  </r>
  <r>
    <n v="32"/>
    <s v="Dr. Mark Spencer"/>
    <x v="1"/>
    <n v="233"/>
    <n v="61247495"/>
    <n v="27.6"/>
    <x v="3"/>
  </r>
  <r>
    <n v="70"/>
    <s v="Dr. Mrs. Valerie Ramirez"/>
    <x v="1"/>
    <n v="253"/>
    <n v="61196580"/>
    <n v="27.1"/>
    <x v="3"/>
  </r>
  <r>
    <n v="114"/>
    <s v="Dr. Mark Wallace"/>
    <x v="2"/>
    <n v="239"/>
    <n v="61071845"/>
    <n v="26.6"/>
    <x v="3"/>
  </r>
  <r>
    <n v="159"/>
    <s v="Dr. Crystal Duke"/>
    <x v="3"/>
    <n v="262"/>
    <n v="61062608"/>
    <n v="26.1"/>
    <x v="3"/>
  </r>
  <r>
    <n v="132"/>
    <s v="Dr. Christopher Blake"/>
    <x v="4"/>
    <n v="243"/>
    <n v="61050211"/>
    <n v="25.6"/>
    <x v="3"/>
  </r>
  <r>
    <n v="5"/>
    <s v="Dr. Tyler Welch"/>
    <x v="1"/>
    <n v="252"/>
    <n v="61013213"/>
    <n v="25.1"/>
    <x v="3"/>
  </r>
  <r>
    <n v="142"/>
    <s v="Dr. Lauren Stone"/>
    <x v="2"/>
    <n v="255"/>
    <n v="61012150"/>
    <n v="24.6"/>
    <x v="3"/>
  </r>
  <r>
    <n v="67"/>
    <s v="Dr. Patricia Brown"/>
    <x v="4"/>
    <n v="250"/>
    <n v="60821138"/>
    <n v="24.1"/>
    <x v="3"/>
  </r>
  <r>
    <n v="108"/>
    <s v="Dr. Paula Roberts"/>
    <x v="2"/>
    <n v="260"/>
    <n v="60722071"/>
    <n v="23.6"/>
    <x v="3"/>
  </r>
  <r>
    <n v="106"/>
    <s v="Dr. Matthew Greene"/>
    <x v="5"/>
    <n v="246"/>
    <n v="60676154"/>
    <n v="23.1"/>
    <x v="3"/>
  </r>
  <r>
    <n v="3"/>
    <s v="Dr. Emily Crawford"/>
    <x v="6"/>
    <n v="255"/>
    <n v="60660834"/>
    <n v="22.6"/>
    <x v="3"/>
  </r>
  <r>
    <n v="119"/>
    <s v="Dr. Judy Lewis"/>
    <x v="2"/>
    <n v="245"/>
    <n v="60580318"/>
    <n v="22.1"/>
    <x v="3"/>
  </r>
  <r>
    <n v="55"/>
    <s v="Dr. Justin Rodriguez DDS"/>
    <x v="3"/>
    <n v="246"/>
    <n v="60435763"/>
    <n v="21.6"/>
    <x v="3"/>
  </r>
  <r>
    <n v="139"/>
    <s v="Dr. Dylan Brown"/>
    <x v="2"/>
    <n v="236"/>
    <n v="60220173"/>
    <n v="21.1"/>
    <x v="3"/>
  </r>
  <r>
    <n v="20"/>
    <s v="Dr. Morgan Greene"/>
    <x v="6"/>
    <n v="251"/>
    <n v="60145375"/>
    <n v="20.6"/>
    <x v="3"/>
  </r>
  <r>
    <n v="76"/>
    <s v="Dr. Lynn Brown"/>
    <x v="3"/>
    <n v="255"/>
    <n v="59933764"/>
    <n v="20.100000000000001"/>
    <x v="3"/>
  </r>
  <r>
    <n v="34"/>
    <s v="Dr. Corey Clark"/>
    <x v="0"/>
    <n v="228"/>
    <n v="59888668"/>
    <n v="19.5"/>
    <x v="3"/>
  </r>
  <r>
    <n v="171"/>
    <s v="Dr. Shannon Booker"/>
    <x v="6"/>
    <n v="247"/>
    <n v="59845370"/>
    <n v="19"/>
    <x v="3"/>
  </r>
  <r>
    <n v="157"/>
    <s v="Dr. Elizabeth Cunningham"/>
    <x v="4"/>
    <n v="255"/>
    <n v="59671421"/>
    <n v="18.5"/>
    <x v="3"/>
  </r>
  <r>
    <n v="181"/>
    <s v="Dr. Alexander Terry"/>
    <x v="2"/>
    <n v="230"/>
    <n v="59632488"/>
    <n v="18"/>
    <x v="3"/>
  </r>
  <r>
    <n v="178"/>
    <s v="Dr. Justin Garcia"/>
    <x v="3"/>
    <n v="237"/>
    <n v="59429630"/>
    <n v="17.5"/>
    <x v="3"/>
  </r>
  <r>
    <n v="153"/>
    <s v="Dr. Alexander Weeks"/>
    <x v="1"/>
    <n v="239"/>
    <n v="59268326"/>
    <n v="17"/>
    <x v="3"/>
  </r>
  <r>
    <n v="6"/>
    <s v="Dr. Donald Sanchez"/>
    <x v="4"/>
    <n v="242"/>
    <n v="59179883"/>
    <n v="16.5"/>
    <x v="3"/>
  </r>
  <r>
    <n v="81"/>
    <s v="Dr. Justin Williams"/>
    <x v="3"/>
    <n v="246"/>
    <n v="59015564"/>
    <n v="16"/>
    <x v="3"/>
  </r>
  <r>
    <n v="74"/>
    <s v="Dr. Brett Obrien"/>
    <x v="1"/>
    <n v="256"/>
    <n v="58778519"/>
    <n v="15.5"/>
    <x v="3"/>
  </r>
  <r>
    <n v="71"/>
    <s v="Dr. Keith Nixon"/>
    <x v="2"/>
    <n v="232"/>
    <n v="58740485"/>
    <n v="15"/>
    <x v="3"/>
  </r>
  <r>
    <n v="28"/>
    <s v="Dr. Mary Reyes"/>
    <x v="1"/>
    <n v="232"/>
    <n v="58352742"/>
    <n v="14.5"/>
    <x v="3"/>
  </r>
  <r>
    <n v="82"/>
    <s v="Dr. Thomas Rosales"/>
    <x v="6"/>
    <n v="224"/>
    <n v="58058005"/>
    <n v="14"/>
    <x v="3"/>
  </r>
  <r>
    <n v="147"/>
    <s v="Dr. Travis Hubbard"/>
    <x v="1"/>
    <n v="221"/>
    <n v="58010468"/>
    <n v="13.5"/>
    <x v="3"/>
  </r>
  <r>
    <n v="175"/>
    <s v="Dr. Denise Gonzalez"/>
    <x v="5"/>
    <n v="244"/>
    <n v="57899668"/>
    <n v="13"/>
    <x v="3"/>
  </r>
  <r>
    <n v="195"/>
    <s v="Dr. Mary Brady"/>
    <x v="5"/>
    <n v="238"/>
    <n v="57836000"/>
    <n v="12.5"/>
    <x v="3"/>
  </r>
  <r>
    <n v="15"/>
    <s v="Dr. Shawn Torres"/>
    <x v="1"/>
    <n v="236"/>
    <n v="57667246"/>
    <n v="12"/>
    <x v="3"/>
  </r>
  <r>
    <n v="46"/>
    <s v="Dr. Hector Williams"/>
    <x v="3"/>
    <n v="229"/>
    <n v="57320046"/>
    <n v="11.5"/>
    <x v="3"/>
  </r>
  <r>
    <n v="190"/>
    <s v="Dr. Troy Aguilar"/>
    <x v="0"/>
    <n v="233"/>
    <n v="57023418"/>
    <n v="11"/>
    <x v="3"/>
  </r>
  <r>
    <n v="107"/>
    <s v="Dr. Molly Ortiz"/>
    <x v="3"/>
    <n v="232"/>
    <n v="57006907"/>
    <n v="10.5"/>
    <x v="3"/>
  </r>
  <r>
    <n v="89"/>
    <s v="Dr. Bradley Taylor"/>
    <x v="4"/>
    <n v="240"/>
    <n v="56683857"/>
    <n v="10"/>
    <x v="3"/>
  </r>
  <r>
    <n v="118"/>
    <s v="Dr. Jody Phillips"/>
    <x v="2"/>
    <n v="232"/>
    <n v="56488007"/>
    <n v="9.5"/>
    <x v="3"/>
  </r>
  <r>
    <n v="17"/>
    <s v="Dr. Kathy Mcgee"/>
    <x v="2"/>
    <n v="237"/>
    <n v="56473866"/>
    <n v="9"/>
    <x v="3"/>
  </r>
  <r>
    <n v="58"/>
    <s v="Dr. Brenda Brooks"/>
    <x v="1"/>
    <n v="229"/>
    <n v="56190044"/>
    <n v="8.5"/>
    <x v="3"/>
  </r>
  <r>
    <n v="126"/>
    <s v="Dr. Luke Carpenter"/>
    <x v="1"/>
    <n v="242"/>
    <n v="56069611"/>
    <n v="8"/>
    <x v="3"/>
  </r>
  <r>
    <n v="188"/>
    <s v="Dr. Matthew Alvarez"/>
    <x v="5"/>
    <n v="240"/>
    <n v="56033423"/>
    <n v="7.5"/>
    <x v="3"/>
  </r>
  <r>
    <n v="133"/>
    <s v="Dr. David Jones"/>
    <x v="3"/>
    <n v="223"/>
    <n v="55974931"/>
    <n v="7"/>
    <x v="3"/>
  </r>
  <r>
    <n v="45"/>
    <s v="Dr. John Garcia"/>
    <x v="1"/>
    <n v="230"/>
    <n v="55928749"/>
    <n v="6.5"/>
    <x v="3"/>
  </r>
  <r>
    <n v="35"/>
    <s v="Dr. Albert Black"/>
    <x v="5"/>
    <n v="237"/>
    <n v="55897994"/>
    <n v="6"/>
    <x v="3"/>
  </r>
  <r>
    <n v="30"/>
    <s v="Dr. Joseph Smith"/>
    <x v="0"/>
    <n v="226"/>
    <n v="55853000"/>
    <n v="5.5"/>
    <x v="3"/>
  </r>
  <r>
    <n v="21"/>
    <s v="Dr. Mr. Jonathan Garcia"/>
    <x v="3"/>
    <n v="233"/>
    <n v="55591299"/>
    <n v="5"/>
    <x v="3"/>
  </r>
  <r>
    <n v="44"/>
    <s v="Dr. Jaime Oneill"/>
    <x v="4"/>
    <n v="214"/>
    <n v="54892046"/>
    <n v="4.5"/>
    <x v="3"/>
  </r>
  <r>
    <n v="12"/>
    <s v="Dr. Andrew Moore"/>
    <x v="3"/>
    <n v="228"/>
    <n v="54446092"/>
    <n v="4"/>
    <x v="3"/>
  </r>
  <r>
    <n v="170"/>
    <s v="Dr. Kristin Bailey"/>
    <x v="2"/>
    <n v="230"/>
    <n v="54262896"/>
    <n v="3.5"/>
    <x v="3"/>
  </r>
  <r>
    <n v="169"/>
    <s v="Dr. Nathan Hickman Jr."/>
    <x v="1"/>
    <n v="229"/>
    <n v="54162674"/>
    <n v="3"/>
    <x v="3"/>
  </r>
  <r>
    <n v="162"/>
    <s v="Dr. Nicole Collins"/>
    <x v="1"/>
    <n v="236"/>
    <n v="54152184"/>
    <n v="2.5"/>
    <x v="3"/>
  </r>
  <r>
    <n v="123"/>
    <s v="Dr. William Greene"/>
    <x v="4"/>
    <n v="216"/>
    <n v="53543236"/>
    <n v="2"/>
    <x v="3"/>
  </r>
  <r>
    <n v="64"/>
    <s v="Dr. Joseph Mendoza"/>
    <x v="3"/>
    <n v="233"/>
    <n v="53517327"/>
    <n v="1.5"/>
    <x v="3"/>
  </r>
  <r>
    <n v="83"/>
    <s v="Dr. Scott Khan"/>
    <x v="3"/>
    <n v="218"/>
    <n v="53474705"/>
    <n v="1"/>
    <x v="3"/>
  </r>
  <r>
    <n v="146"/>
    <s v="Dr. John Molina"/>
    <x v="0"/>
    <n v="212"/>
    <n v="50930910"/>
    <n v="0.5"/>
    <x v="3"/>
  </r>
  <r>
    <n v="100"/>
    <s v="Dr. Lindsey Wright"/>
    <x v="0"/>
    <n v="211"/>
    <n v="49460876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23E33-9DC5-45A0-AFF5-7DC73D993300}" name="PivotTable6" cacheId="6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G6:AH11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octor_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65B2B-2347-429A-B3B4-DA9A558BA27A}" name="PivotTable2" cacheId="6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8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octor_id" fld="0" subtotal="count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D5096-1C58-49B0-B6D8-9C062D611A39}" name="PivotTable3" cacheId="6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 rowPageCount="1" colPageCount="1"/>
  <pivotFields count="7">
    <pivotField dataField="1" compact="0" outline="0" showAll="0"/>
    <pivotField compact="0" outline="0" showAll="0"/>
    <pivotField axis="axisRow" compact="0" outline="0" showAll="0">
      <items count="8">
        <item x="3"/>
        <item x="6"/>
        <item x="2"/>
        <item x="1"/>
        <item x="5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1"/>
        <item x="0"/>
        <item h="1" x="3"/>
        <item h="1" x="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6" item="1" hier="-1"/>
  </pageFields>
  <dataFields count="1">
    <dataField name="Count of docto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B04D9-6346-4B97-8F64-48AB17BB6080}" name="PivotTable1" cacheId="6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C8" firstHeaderRow="0" firstDataRow="1" firstDataCol="1"/>
  <pivotFields count="8">
    <pivotField dataField="1" compact="0" outline="0" showAll="0"/>
    <pivotField compact="0" outline="0" showAll="0"/>
    <pivotField compact="0" outline="0" showAll="0"/>
    <pivotField compact="0" outline="0" showAll="0"/>
    <pivotField compact="0" numFmtId="11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dataField="1" compact="0" numFmtId="11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onus_payout" fld="7" baseField="0" baseItem="0" numFmtId="165"/>
    <dataField name="Count of mr_id" fld="0" subtotal="count" baseField="0" baseItem="0"/>
  </dataFields>
  <formats count="2">
    <format dxfId="0">
      <pivotArea outline="0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1" xr10:uid="{A17CCF48-8F6A-4063-AC90-988EB91F8AD6}" sourceName="segment">
  <pivotTables>
    <pivotTable tabId="9" name="PivotTable6"/>
  </pivotTables>
  <data>
    <tabular pivotCacheId="1162263799">
      <items count="4">
        <i x="1" s="1"/>
        <i x="0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 2" xr10:uid="{7F7D5592-387A-4AAF-B9AC-BB41C38E89A9}" cache="Slicer_segment1" caption="Doctor Segment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E749-106F-456C-8F8C-6F42961E0AF9}">
  <dimension ref="A1:AH24"/>
  <sheetViews>
    <sheetView showGridLines="0" tabSelected="1" workbookViewId="0">
      <selection activeCell="C25" sqref="C25"/>
    </sheetView>
  </sheetViews>
  <sheetFormatPr defaultRowHeight="15"/>
  <cols>
    <col min="1" max="1" width="34.28515625" customWidth="1"/>
    <col min="2" max="2" width="37.42578125" customWidth="1"/>
    <col min="3" max="3" width="35.140625" customWidth="1"/>
    <col min="4" max="5" width="29.28515625" customWidth="1"/>
    <col min="22" max="22" width="18.42578125" bestFit="1" customWidth="1"/>
    <col min="23" max="23" width="18.140625" bestFit="1" customWidth="1"/>
    <col min="33" max="33" width="18.42578125" customWidth="1"/>
    <col min="34" max="34" width="18.140625" customWidth="1"/>
  </cols>
  <sheetData>
    <row r="1" spans="1:34" ht="18.75">
      <c r="A1" s="33" t="s">
        <v>0</v>
      </c>
      <c r="B1" s="33" t="s">
        <v>1</v>
      </c>
      <c r="C1" s="33" t="s">
        <v>2</v>
      </c>
      <c r="D1" s="33" t="s">
        <v>3</v>
      </c>
      <c r="E1" s="34" t="s">
        <v>4</v>
      </c>
    </row>
    <row r="2" spans="1:34" ht="31.5">
      <c r="A2" s="35">
        <f>SUM(Data_Source!E2:E51)</f>
        <v>12910000000</v>
      </c>
      <c r="B2" s="35">
        <f>SUM(Data_Source!H2:H51)</f>
        <v>727500000</v>
      </c>
      <c r="C2" s="36" t="str">
        <f>INDEX(Data_Source!B2:B51, MATCH(MAX(Data_Source!E2:E51), Data_Source!E2:E51, 0))</f>
        <v>Sean Fisher DVM</v>
      </c>
      <c r="D2" s="36">
        <f>COUNTIF(Doctor_Segmentation!G2:G201, "Key Opinion Leader")</f>
        <v>20</v>
      </c>
      <c r="E2" s="37">
        <f>ROUND(SUM(Territory_Performance!B2:B7)/SUM(Territory_Performance!C2:C7),3)</f>
        <v>0.90200000000000002</v>
      </c>
    </row>
    <row r="3" spans="1:34" ht="31.5">
      <c r="A3" s="38"/>
      <c r="B3" s="38"/>
      <c r="C3" s="39">
        <f>MAX(Data_Source!E2:E51)</f>
        <v>275000000</v>
      </c>
      <c r="D3" s="38"/>
      <c r="E3" s="40"/>
    </row>
    <row r="6" spans="1:34">
      <c r="AG6" s="2" t="s">
        <v>5</v>
      </c>
      <c r="AH6" t="s">
        <v>6</v>
      </c>
    </row>
    <row r="7" spans="1:34">
      <c r="AG7" t="s">
        <v>7</v>
      </c>
      <c r="AH7" s="3">
        <v>40</v>
      </c>
    </row>
    <row r="8" spans="1:34">
      <c r="AG8" t="s">
        <v>8</v>
      </c>
      <c r="AH8" s="3">
        <v>20</v>
      </c>
    </row>
    <row r="9" spans="1:34">
      <c r="AG9" t="s">
        <v>9</v>
      </c>
      <c r="AH9" s="3">
        <v>60</v>
      </c>
    </row>
    <row r="10" spans="1:34">
      <c r="AG10" t="s">
        <v>10</v>
      </c>
      <c r="AH10" s="3">
        <v>80</v>
      </c>
    </row>
    <row r="11" spans="1:34">
      <c r="AG11" t="s">
        <v>11</v>
      </c>
      <c r="AH11" s="3">
        <v>200</v>
      </c>
    </row>
    <row r="24" spans="11:11">
      <c r="K24" s="4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5F10-6A02-4BF7-A931-99909813E191}">
  <dimension ref="A1:D5"/>
  <sheetViews>
    <sheetView workbookViewId="0">
      <selection activeCell="F9" sqref="F9"/>
    </sheetView>
  </sheetViews>
  <sheetFormatPr defaultRowHeight="15"/>
  <cols>
    <col min="1" max="1" width="22.85546875" customWidth="1"/>
    <col min="2" max="2" width="32.5703125" customWidth="1"/>
  </cols>
  <sheetData>
    <row r="1" spans="1:4">
      <c r="A1" s="25" t="s">
        <v>12</v>
      </c>
      <c r="B1" s="30" t="s">
        <v>13</v>
      </c>
    </row>
    <row r="2" spans="1:4">
      <c r="A2" s="26" t="s">
        <v>14</v>
      </c>
      <c r="B2" s="27" t="str">
        <f>_xlfn.XLOOKUP(B1, Data_Source!$B$2:$B$51, Data_Source!$C$2:$C$51)</f>
        <v>East Zone</v>
      </c>
    </row>
    <row r="3" spans="1:4">
      <c r="A3" s="26" t="s">
        <v>15</v>
      </c>
      <c r="B3" s="32">
        <v>210000000</v>
      </c>
    </row>
    <row r="4" spans="1:4">
      <c r="A4" s="26" t="s">
        <v>16</v>
      </c>
      <c r="B4" s="27" t="str" cm="1">
        <f t="array" ref="B4">_xlfn.IFS(B3&lt;247000000,"Bronze",B3&lt;256000000,"Silver",B3&lt;266000000,"Gold",TRUE,"Platinum")</f>
        <v>Bronze</v>
      </c>
    </row>
    <row r="5" spans="1:4">
      <c r="A5" s="28" t="s">
        <v>17</v>
      </c>
      <c r="B5" s="31">
        <f>_xlfn.XLOOKUP(B4,Data_Source!$J$2:$J$5,Data_Source!$K$2:$K$5)*B3</f>
        <v>4200000</v>
      </c>
      <c r="D5" s="2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51760B60-C38E-45EE-8BA3-C101289FC3C4}">
          <x14:formula1>
            <xm:f>Data_Source!$B$2:$B$51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636A-EE02-4257-9014-EF5AB43F6E23}">
  <dimension ref="A1:E7"/>
  <sheetViews>
    <sheetView workbookViewId="0">
      <selection activeCell="H5" sqref="H5"/>
    </sheetView>
  </sheetViews>
  <sheetFormatPr defaultRowHeight="15"/>
  <cols>
    <col min="1" max="1" width="17.5703125" customWidth="1"/>
    <col min="2" max="2" width="17" style="16" customWidth="1"/>
    <col min="3" max="3" width="16.140625" style="16" customWidth="1"/>
    <col min="4" max="4" width="17.28515625" style="21" customWidth="1"/>
    <col min="5" max="5" width="15.28515625" customWidth="1"/>
  </cols>
  <sheetData>
    <row r="1" spans="1:5">
      <c r="A1" t="s">
        <v>18</v>
      </c>
      <c r="B1" s="16" t="s">
        <v>19</v>
      </c>
      <c r="C1" s="16" t="s">
        <v>20</v>
      </c>
      <c r="D1" s="21" t="s">
        <v>21</v>
      </c>
      <c r="E1" t="s">
        <v>22</v>
      </c>
    </row>
    <row r="2" spans="1:5">
      <c r="A2" t="s">
        <v>23</v>
      </c>
      <c r="B2" s="16">
        <f>SUMIF(Data_Source!$C$2:$C$51, A2, Data_Source!$E$2:$E$51)</f>
        <v>2842000000</v>
      </c>
      <c r="C2" s="16">
        <v>2586000000</v>
      </c>
      <c r="D2" s="21">
        <f>ROUND(B2/C2,3)</f>
        <v>1.099</v>
      </c>
      <c r="E2" t="str" cm="1">
        <f t="array" ref="E2">_xlfn.IFS(
  D2 &gt;= 100, "On Track",
  D2 &gt;= 85, "At Risk",
  TRUE, "Missed"
)</f>
        <v>Missed</v>
      </c>
    </row>
    <row r="3" spans="1:5">
      <c r="A3" t="s">
        <v>24</v>
      </c>
      <c r="B3" s="16">
        <f>SUMIF(Data_Source!$C$2:$C$51, A3, Data_Source!$E$2:$E$51)</f>
        <v>2069000000</v>
      </c>
      <c r="C3" s="16">
        <v>2157000000</v>
      </c>
      <c r="D3" s="21">
        <f t="shared" ref="D3:D7" si="0">ROUND(B3/C3,3)</f>
        <v>0.95899999999999996</v>
      </c>
      <c r="E3" t="str" cm="1">
        <f t="array" ref="E3">_xlfn.IFS(
  D3 &gt;= 100, "On Track",
  D3 &gt;= 85, "At Risk",
  TRUE, "Missed"
)</f>
        <v>Missed</v>
      </c>
    </row>
    <row r="4" spans="1:5">
      <c r="A4" t="s">
        <v>25</v>
      </c>
      <c r="B4" s="16">
        <f>SUMIF(Data_Source!$C$2:$C$51, A4, Data_Source!$E$2:$E$51)</f>
        <v>3380000000</v>
      </c>
      <c r="C4" s="16">
        <v>4872000000</v>
      </c>
      <c r="D4" s="21">
        <f t="shared" si="0"/>
        <v>0.69399999999999995</v>
      </c>
      <c r="E4" t="str" cm="1">
        <f t="array" ref="E4">_xlfn.IFS(
  D4 &gt;= 100, "On Track",
  D4 &gt;= 85, "At Risk",
  TRUE, "Missed"
)</f>
        <v>Missed</v>
      </c>
    </row>
    <row r="5" spans="1:5">
      <c r="A5" t="s">
        <v>26</v>
      </c>
      <c r="B5" s="16">
        <f>SUMIF(Data_Source!$C$2:$C$51, A5, Data_Source!$E$2:$E$51)</f>
        <v>1520000000</v>
      </c>
      <c r="C5" s="16">
        <v>1780000000</v>
      </c>
      <c r="D5" s="21">
        <f t="shared" si="0"/>
        <v>0.85399999999999998</v>
      </c>
      <c r="E5" t="str" cm="1">
        <f t="array" ref="E5">_xlfn.IFS(
  D5 &gt;= 100, "On Track",
  D5 &gt;= 85, "At Risk",
  TRUE, "Missed"
)</f>
        <v>Missed</v>
      </c>
    </row>
    <row r="6" spans="1:5">
      <c r="A6" t="s">
        <v>27</v>
      </c>
      <c r="B6" s="16">
        <f>SUMIF(Data_Source!$C$2:$C$51, A6, Data_Source!$E$2:$E$51)</f>
        <v>2062000000</v>
      </c>
      <c r="C6" s="16">
        <v>1913000000</v>
      </c>
      <c r="D6" s="21">
        <f t="shared" si="0"/>
        <v>1.0780000000000001</v>
      </c>
      <c r="E6" t="str" cm="1">
        <f t="array" ref="E6">_xlfn.IFS(
  D6 &gt;= 100, "On Track",
  D6 &gt;= 85, "At Risk",
  TRUE, "Missed"
)</f>
        <v>Missed</v>
      </c>
    </row>
    <row r="7" spans="1:5">
      <c r="A7" t="s">
        <v>28</v>
      </c>
      <c r="B7" s="16">
        <f>SUMIF(Data_Source!$C$2:$C$51, A7, Data_Source!$E$2:$E$51)</f>
        <v>1037000000</v>
      </c>
      <c r="C7" s="16">
        <v>1001000000</v>
      </c>
      <c r="D7" s="21">
        <f t="shared" si="0"/>
        <v>1.036</v>
      </c>
      <c r="E7" t="str" cm="1">
        <f t="array" ref="E7">_xlfn.IFS(
  D7 &gt;= 100, "On Track",
  D7 &gt;= 85, "At Risk",
  TRUE, "Missed"
)</f>
        <v>Missed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94F5-FF5F-4378-84F6-89DB5EDF5693}">
  <dimension ref="A3:B8"/>
  <sheetViews>
    <sheetView workbookViewId="0">
      <selection activeCell="Q14" sqref="Q14"/>
    </sheetView>
  </sheetViews>
  <sheetFormatPr defaultRowHeight="15"/>
  <cols>
    <col min="1" max="1" width="18.42578125" bestFit="1" customWidth="1"/>
    <col min="2" max="2" width="18.140625" bestFit="1" customWidth="1"/>
  </cols>
  <sheetData>
    <row r="3" spans="1:2">
      <c r="A3" s="2" t="s">
        <v>5</v>
      </c>
      <c r="B3" t="s">
        <v>6</v>
      </c>
    </row>
    <row r="4" spans="1:2">
      <c r="A4" t="s">
        <v>7</v>
      </c>
      <c r="B4" s="3">
        <v>40</v>
      </c>
    </row>
    <row r="5" spans="1:2">
      <c r="A5" t="s">
        <v>8</v>
      </c>
      <c r="B5" s="3">
        <v>20</v>
      </c>
    </row>
    <row r="6" spans="1:2">
      <c r="A6" t="s">
        <v>9</v>
      </c>
      <c r="B6" s="3">
        <v>60</v>
      </c>
    </row>
    <row r="7" spans="1:2">
      <c r="A7" t="s">
        <v>10</v>
      </c>
      <c r="B7" s="3">
        <v>80</v>
      </c>
    </row>
    <row r="8" spans="1:2">
      <c r="A8" t="s">
        <v>11</v>
      </c>
      <c r="B8" s="3">
        <v>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F490-57FB-49C4-8393-4175B46AA54A}">
  <dimension ref="A1:G2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22.140625" customWidth="1"/>
    <col min="3" max="3" width="19" customWidth="1"/>
    <col min="4" max="4" width="15.28515625" customWidth="1"/>
    <col min="5" max="5" width="22.85546875" style="18" customWidth="1"/>
    <col min="6" max="6" width="18.28515625" customWidth="1"/>
    <col min="7" max="7" width="26" customWidth="1"/>
  </cols>
  <sheetData>
    <row r="1" spans="1:7" s="4" customFormat="1">
      <c r="A1" s="22" t="s">
        <v>29</v>
      </c>
      <c r="B1" s="22" t="s">
        <v>30</v>
      </c>
      <c r="C1" s="22" t="s">
        <v>31</v>
      </c>
      <c r="D1" s="22" t="s">
        <v>32</v>
      </c>
      <c r="E1" s="23" t="s">
        <v>33</v>
      </c>
      <c r="F1" s="24" t="s">
        <v>34</v>
      </c>
      <c r="G1" s="24" t="s">
        <v>5</v>
      </c>
    </row>
    <row r="2" spans="1:7">
      <c r="A2" s="1">
        <v>135</v>
      </c>
      <c r="B2" s="1" t="s">
        <v>35</v>
      </c>
      <c r="C2" s="1" t="s">
        <v>36</v>
      </c>
      <c r="D2" s="1">
        <v>297</v>
      </c>
      <c r="E2" s="20">
        <v>88098210</v>
      </c>
      <c r="F2">
        <f>ROUND(_xlfn.PERCENTRANK.INC($E$2:$E$201, E2) * 100, 1)</f>
        <v>100</v>
      </c>
      <c r="G2" t="str" cm="1">
        <f t="array" ref="G2">_xlfn.IFS(
  F2 &gt;= 90, "Key Opinion Leader",
  F2 &gt;= 70, "High Value",
  F2 &gt;= 30, "Standard",
  TRUE, "Low Engagement"
)</f>
        <v>Key Opinion Leader</v>
      </c>
    </row>
    <row r="3" spans="1:7">
      <c r="A3" s="1">
        <v>43</v>
      </c>
      <c r="B3" s="1" t="s">
        <v>37</v>
      </c>
      <c r="C3" s="1" t="s">
        <v>38</v>
      </c>
      <c r="D3" s="1">
        <v>299</v>
      </c>
      <c r="E3" s="20">
        <v>78181025</v>
      </c>
      <c r="F3">
        <f t="shared" ref="F3:F66" si="0">ROUND(_xlfn.PERCENTRANK.INC($E$2:$E$201, E3) * 100, 1)</f>
        <v>99.4</v>
      </c>
      <c r="G3" t="str" cm="1">
        <f t="array" ref="G3">_xlfn.IFS(
  F3 &gt;= 90, "Key Opinion Leader",
  F3 &gt;= 70, "High Value",
  F3 &gt;= 30, "Standard",
  TRUE, "Low Engagement"
)</f>
        <v>Key Opinion Leader</v>
      </c>
    </row>
    <row r="4" spans="1:7">
      <c r="A4" s="1">
        <v>4</v>
      </c>
      <c r="B4" s="1" t="s">
        <v>39</v>
      </c>
      <c r="C4" s="1" t="s">
        <v>38</v>
      </c>
      <c r="D4" s="1">
        <v>281</v>
      </c>
      <c r="E4" s="20">
        <v>77144978</v>
      </c>
      <c r="F4">
        <f t="shared" si="0"/>
        <v>98.9</v>
      </c>
      <c r="G4" t="str" cm="1">
        <f t="array" ref="G4">_xlfn.IFS(
  F4 &gt;= 90, "Key Opinion Leader",
  F4 &gt;= 70, "High Value",
  F4 &gt;= 30, "Standard",
  TRUE, "Low Engagement"
)</f>
        <v>Key Opinion Leader</v>
      </c>
    </row>
    <row r="5" spans="1:7">
      <c r="A5" s="1">
        <v>72</v>
      </c>
      <c r="B5" s="1" t="s">
        <v>40</v>
      </c>
      <c r="C5" s="1" t="s">
        <v>36</v>
      </c>
      <c r="D5" s="1">
        <v>291</v>
      </c>
      <c r="E5" s="20">
        <v>75080065</v>
      </c>
      <c r="F5">
        <f t="shared" si="0"/>
        <v>98.4</v>
      </c>
      <c r="G5" t="str" cm="1">
        <f t="array" ref="G5">_xlfn.IFS(
  F5 &gt;= 90, "Key Opinion Leader",
  F5 &gt;= 70, "High Value",
  F5 &gt;= 30, "Standard",
  TRUE, "Low Engagement"
)</f>
        <v>Key Opinion Leader</v>
      </c>
    </row>
    <row r="6" spans="1:7">
      <c r="A6" s="1">
        <v>78</v>
      </c>
      <c r="B6" s="1" t="s">
        <v>41</v>
      </c>
      <c r="C6" s="1" t="s">
        <v>42</v>
      </c>
      <c r="D6" s="1">
        <v>272</v>
      </c>
      <c r="E6" s="20">
        <v>74891148</v>
      </c>
      <c r="F6">
        <f t="shared" si="0"/>
        <v>97.9</v>
      </c>
      <c r="G6" t="str" cm="1">
        <f t="array" ref="G6">_xlfn.IFS(
  F6 &gt;= 90, "Key Opinion Leader",
  F6 &gt;= 70, "High Value",
  F6 &gt;= 30, "Standard",
  TRUE, "Low Engagement"
)</f>
        <v>Key Opinion Leader</v>
      </c>
    </row>
    <row r="7" spans="1:7">
      <c r="A7" s="1">
        <v>200</v>
      </c>
      <c r="B7" s="1" t="s">
        <v>43</v>
      </c>
      <c r="C7" s="1" t="s">
        <v>38</v>
      </c>
      <c r="D7" s="1">
        <v>256</v>
      </c>
      <c r="E7" s="20">
        <v>74290109</v>
      </c>
      <c r="F7">
        <f t="shared" si="0"/>
        <v>97.4</v>
      </c>
      <c r="G7" t="str" cm="1">
        <f t="array" ref="G7">_xlfn.IFS(
  F7 &gt;= 90, "Key Opinion Leader",
  F7 &gt;= 70, "High Value",
  F7 &gt;= 30, "Standard",
  TRUE, "Low Engagement"
)</f>
        <v>Key Opinion Leader</v>
      </c>
    </row>
    <row r="8" spans="1:7">
      <c r="A8" s="1">
        <v>158</v>
      </c>
      <c r="B8" s="1" t="s">
        <v>44</v>
      </c>
      <c r="C8" s="1" t="s">
        <v>38</v>
      </c>
      <c r="D8" s="1">
        <v>277</v>
      </c>
      <c r="E8" s="20">
        <v>73927676</v>
      </c>
      <c r="F8">
        <f t="shared" si="0"/>
        <v>96.9</v>
      </c>
      <c r="G8" t="str" cm="1">
        <f t="array" ref="G8">_xlfn.IFS(
  F8 &gt;= 90, "Key Opinion Leader",
  F8 &gt;= 70, "High Value",
  F8 &gt;= 30, "Standard",
  TRUE, "Low Engagement"
)</f>
        <v>Key Opinion Leader</v>
      </c>
    </row>
    <row r="9" spans="1:7">
      <c r="A9" s="1">
        <v>184</v>
      </c>
      <c r="B9" s="1" t="s">
        <v>45</v>
      </c>
      <c r="C9" s="1" t="s">
        <v>42</v>
      </c>
      <c r="D9" s="1">
        <v>252</v>
      </c>
      <c r="E9" s="20">
        <v>73618931</v>
      </c>
      <c r="F9">
        <f t="shared" si="0"/>
        <v>96.4</v>
      </c>
      <c r="G9" t="str" cm="1">
        <f t="array" ref="G9">_xlfn.IFS(
  F9 &gt;= 90, "Key Opinion Leader",
  F9 &gt;= 70, "High Value",
  F9 &gt;= 30, "Standard",
  TRUE, "Low Engagement"
)</f>
        <v>Key Opinion Leader</v>
      </c>
    </row>
    <row r="10" spans="1:7">
      <c r="A10" s="1">
        <v>140</v>
      </c>
      <c r="B10" s="1" t="s">
        <v>46</v>
      </c>
      <c r="C10" s="1" t="s">
        <v>47</v>
      </c>
      <c r="D10" s="1">
        <v>261</v>
      </c>
      <c r="E10" s="20">
        <v>73568567</v>
      </c>
      <c r="F10">
        <f t="shared" si="0"/>
        <v>95.9</v>
      </c>
      <c r="G10" t="str" cm="1">
        <f t="array" ref="G10">_xlfn.IFS(
  F10 &gt;= 90, "Key Opinion Leader",
  F10 &gt;= 70, "High Value",
  F10 &gt;= 30, "Standard",
  TRUE, "Low Engagement"
)</f>
        <v>Key Opinion Leader</v>
      </c>
    </row>
    <row r="11" spans="1:7">
      <c r="A11" s="1">
        <v>62</v>
      </c>
      <c r="B11" s="1" t="s">
        <v>48</v>
      </c>
      <c r="C11" s="1" t="s">
        <v>49</v>
      </c>
      <c r="D11" s="1">
        <v>270</v>
      </c>
      <c r="E11" s="20">
        <v>73451920</v>
      </c>
      <c r="F11">
        <f t="shared" si="0"/>
        <v>95.4</v>
      </c>
      <c r="G11" t="str" cm="1">
        <f t="array" ref="G11">_xlfn.IFS(
  F11 &gt;= 90, "Key Opinion Leader",
  F11 &gt;= 70, "High Value",
  F11 &gt;= 30, "Standard",
  TRUE, "Low Engagement"
)</f>
        <v>Key Opinion Leader</v>
      </c>
    </row>
    <row r="12" spans="1:7">
      <c r="A12" s="1">
        <v>104</v>
      </c>
      <c r="B12" s="1" t="s">
        <v>50</v>
      </c>
      <c r="C12" s="1" t="s">
        <v>51</v>
      </c>
      <c r="D12" s="1">
        <v>255</v>
      </c>
      <c r="E12" s="20">
        <v>73435021</v>
      </c>
      <c r="F12">
        <f t="shared" si="0"/>
        <v>94.9</v>
      </c>
      <c r="G12" t="str" cm="1">
        <f t="array" ref="G12">_xlfn.IFS(
  F12 &gt;= 90, "Key Opinion Leader",
  F12 &gt;= 70, "High Value",
  F12 &gt;= 30, "Standard",
  TRUE, "Low Engagement"
)</f>
        <v>Key Opinion Leader</v>
      </c>
    </row>
    <row r="13" spans="1:7">
      <c r="A13" s="1">
        <v>9</v>
      </c>
      <c r="B13" s="1" t="s">
        <v>52</v>
      </c>
      <c r="C13" s="1" t="s">
        <v>47</v>
      </c>
      <c r="D13" s="1">
        <v>284</v>
      </c>
      <c r="E13" s="20">
        <v>73378397</v>
      </c>
      <c r="F13">
        <f t="shared" si="0"/>
        <v>94.4</v>
      </c>
      <c r="G13" t="str" cm="1">
        <f t="array" ref="G13">_xlfn.IFS(
  F13 &gt;= 90, "Key Opinion Leader",
  F13 &gt;= 70, "High Value",
  F13 &gt;= 30, "Standard",
  TRUE, "Low Engagement"
)</f>
        <v>Key Opinion Leader</v>
      </c>
    </row>
    <row r="14" spans="1:7">
      <c r="A14" s="1">
        <v>128</v>
      </c>
      <c r="B14" s="1" t="s">
        <v>53</v>
      </c>
      <c r="C14" s="1" t="s">
        <v>51</v>
      </c>
      <c r="D14" s="1">
        <v>263</v>
      </c>
      <c r="E14" s="20">
        <v>73353918</v>
      </c>
      <c r="F14">
        <f t="shared" si="0"/>
        <v>93.9</v>
      </c>
      <c r="G14" t="str" cm="1">
        <f t="array" ref="G14">_xlfn.IFS(
  F14 &gt;= 90, "Key Opinion Leader",
  F14 &gt;= 70, "High Value",
  F14 &gt;= 30, "Standard",
  TRUE, "Low Engagement"
)</f>
        <v>Key Opinion Leader</v>
      </c>
    </row>
    <row r="15" spans="1:7">
      <c r="A15" s="1">
        <v>27</v>
      </c>
      <c r="B15" s="1" t="s">
        <v>54</v>
      </c>
      <c r="C15" s="1" t="s">
        <v>47</v>
      </c>
      <c r="D15" s="1">
        <v>285</v>
      </c>
      <c r="E15" s="20">
        <v>73284653</v>
      </c>
      <c r="F15">
        <f t="shared" si="0"/>
        <v>93.4</v>
      </c>
      <c r="G15" t="str" cm="1">
        <f t="array" ref="G15">_xlfn.IFS(
  F15 &gt;= 90, "Key Opinion Leader",
  F15 &gt;= 70, "High Value",
  F15 &gt;= 30, "Standard",
  TRUE, "Low Engagement"
)</f>
        <v>Key Opinion Leader</v>
      </c>
    </row>
    <row r="16" spans="1:7">
      <c r="A16" s="1">
        <v>149</v>
      </c>
      <c r="B16" s="1" t="s">
        <v>55</v>
      </c>
      <c r="C16" s="1" t="s">
        <v>42</v>
      </c>
      <c r="D16" s="1">
        <v>259</v>
      </c>
      <c r="E16" s="20">
        <v>73197531</v>
      </c>
      <c r="F16">
        <f t="shared" si="0"/>
        <v>92.9</v>
      </c>
      <c r="G16" t="str" cm="1">
        <f t="array" ref="G16">_xlfn.IFS(
  F16 &gt;= 90, "Key Opinion Leader",
  F16 &gt;= 70, "High Value",
  F16 &gt;= 30, "Standard",
  TRUE, "Low Engagement"
)</f>
        <v>Key Opinion Leader</v>
      </c>
    </row>
    <row r="17" spans="1:7">
      <c r="A17" s="1">
        <v>40</v>
      </c>
      <c r="B17" s="1" t="s">
        <v>56</v>
      </c>
      <c r="C17" s="1" t="s">
        <v>38</v>
      </c>
      <c r="D17" s="1">
        <v>251</v>
      </c>
      <c r="E17" s="20">
        <v>73087070</v>
      </c>
      <c r="F17">
        <f t="shared" si="0"/>
        <v>92.4</v>
      </c>
      <c r="G17" t="str" cm="1">
        <f t="array" ref="G17">_xlfn.IFS(
  F17 &gt;= 90, "Key Opinion Leader",
  F17 &gt;= 70, "High Value",
  F17 &gt;= 30, "Standard",
  TRUE, "Low Engagement"
)</f>
        <v>Key Opinion Leader</v>
      </c>
    </row>
    <row r="18" spans="1:7">
      <c r="A18" s="1">
        <v>110</v>
      </c>
      <c r="B18" s="1" t="s">
        <v>57</v>
      </c>
      <c r="C18" s="1" t="s">
        <v>42</v>
      </c>
      <c r="D18" s="1">
        <v>246</v>
      </c>
      <c r="E18" s="20">
        <v>73028197</v>
      </c>
      <c r="F18">
        <f t="shared" si="0"/>
        <v>91.9</v>
      </c>
      <c r="G18" t="str" cm="1">
        <f t="array" ref="G18">_xlfn.IFS(
  F18 &gt;= 90, "Key Opinion Leader",
  F18 &gt;= 70, "High Value",
  F18 &gt;= 30, "Standard",
  TRUE, "Low Engagement"
)</f>
        <v>Key Opinion Leader</v>
      </c>
    </row>
    <row r="19" spans="1:7">
      <c r="A19" s="1">
        <v>94</v>
      </c>
      <c r="B19" s="1" t="s">
        <v>58</v>
      </c>
      <c r="C19" s="1" t="s">
        <v>42</v>
      </c>
      <c r="D19" s="1">
        <v>269</v>
      </c>
      <c r="E19" s="20">
        <v>72660295</v>
      </c>
      <c r="F19">
        <f t="shared" si="0"/>
        <v>91.4</v>
      </c>
      <c r="G19" t="str" cm="1">
        <f t="array" ref="G19">_xlfn.IFS(
  F19 &gt;= 90, "Key Opinion Leader",
  F19 &gt;= 70, "High Value",
  F19 &gt;= 30, "Standard",
  TRUE, "Low Engagement"
)</f>
        <v>Key Opinion Leader</v>
      </c>
    </row>
    <row r="20" spans="1:7">
      <c r="A20" s="1">
        <v>36</v>
      </c>
      <c r="B20" s="1" t="s">
        <v>59</v>
      </c>
      <c r="C20" s="1" t="s">
        <v>60</v>
      </c>
      <c r="D20" s="1">
        <v>267</v>
      </c>
      <c r="E20" s="20">
        <v>72652546</v>
      </c>
      <c r="F20">
        <f t="shared" si="0"/>
        <v>90.9</v>
      </c>
      <c r="G20" t="str" cm="1">
        <f t="array" ref="G20">_xlfn.IFS(
  F20 &gt;= 90, "Key Opinion Leader",
  F20 &gt;= 70, "High Value",
  F20 &gt;= 30, "Standard",
  TRUE, "Low Engagement"
)</f>
        <v>Key Opinion Leader</v>
      </c>
    </row>
    <row r="21" spans="1:7">
      <c r="A21" s="1">
        <v>150</v>
      </c>
      <c r="B21" s="1" t="s">
        <v>61</v>
      </c>
      <c r="C21" s="1" t="s">
        <v>49</v>
      </c>
      <c r="D21" s="1">
        <v>244</v>
      </c>
      <c r="E21" s="20">
        <v>72214551</v>
      </c>
      <c r="F21">
        <f t="shared" si="0"/>
        <v>90.4</v>
      </c>
      <c r="G21" t="str" cm="1">
        <f t="array" ref="G21">_xlfn.IFS(
  F21 &gt;= 90, "Key Opinion Leader",
  F21 &gt;= 70, "High Value",
  F21 &gt;= 30, "Standard",
  TRUE, "Low Engagement"
)</f>
        <v>Key Opinion Leader</v>
      </c>
    </row>
    <row r="22" spans="1:7">
      <c r="A22" s="1">
        <v>187</v>
      </c>
      <c r="B22" s="1" t="s">
        <v>62</v>
      </c>
      <c r="C22" s="1" t="s">
        <v>51</v>
      </c>
      <c r="D22" s="1">
        <v>286</v>
      </c>
      <c r="E22" s="20">
        <v>72214199</v>
      </c>
      <c r="F22">
        <f t="shared" si="0"/>
        <v>89.9</v>
      </c>
      <c r="G22" t="str" cm="1">
        <f t="array" ref="G22">_xlfn.IFS(
  F22 &gt;= 90, "Key Opinion Leader",
  F22 &gt;= 70, "High Value",
  F22 &gt;= 30, "Standard",
  TRUE, "Low Engagement"
)</f>
        <v>High Value</v>
      </c>
    </row>
    <row r="23" spans="1:7">
      <c r="A23" s="1">
        <v>172</v>
      </c>
      <c r="B23" s="1" t="s">
        <v>63</v>
      </c>
      <c r="C23" s="1" t="s">
        <v>38</v>
      </c>
      <c r="D23" s="1">
        <v>286</v>
      </c>
      <c r="E23" s="20">
        <v>71932372</v>
      </c>
      <c r="F23">
        <f t="shared" si="0"/>
        <v>89.4</v>
      </c>
      <c r="G23" t="str" cm="1">
        <f t="array" ref="G23">_xlfn.IFS(
  F23 &gt;= 90, "Key Opinion Leader",
  F23 &gt;= 70, "High Value",
  F23 &gt;= 30, "Standard",
  TRUE, "Low Engagement"
)</f>
        <v>High Value</v>
      </c>
    </row>
    <row r="24" spans="1:7">
      <c r="A24" s="1">
        <v>166</v>
      </c>
      <c r="B24" s="1" t="s">
        <v>64</v>
      </c>
      <c r="C24" s="1" t="s">
        <v>36</v>
      </c>
      <c r="D24" s="1">
        <v>267</v>
      </c>
      <c r="E24" s="20">
        <v>71851766</v>
      </c>
      <c r="F24">
        <f t="shared" si="0"/>
        <v>88.9</v>
      </c>
      <c r="G24" t="str" cm="1">
        <f t="array" ref="G24">_xlfn.IFS(
  F24 &gt;= 90, "Key Opinion Leader",
  F24 &gt;= 70, "High Value",
  F24 &gt;= 30, "Standard",
  TRUE, "Low Engagement"
)</f>
        <v>High Value</v>
      </c>
    </row>
    <row r="25" spans="1:7">
      <c r="A25" s="1">
        <v>193</v>
      </c>
      <c r="B25" s="1" t="s">
        <v>65</v>
      </c>
      <c r="C25" s="1" t="s">
        <v>38</v>
      </c>
      <c r="D25" s="1">
        <v>254</v>
      </c>
      <c r="E25" s="20">
        <v>71392796</v>
      </c>
      <c r="F25">
        <f t="shared" si="0"/>
        <v>88.4</v>
      </c>
      <c r="G25" t="str" cm="1">
        <f t="array" ref="G25">_xlfn.IFS(
  F25 &gt;= 90, "Key Opinion Leader",
  F25 &gt;= 70, "High Value",
  F25 &gt;= 30, "Standard",
  TRUE, "Low Engagement"
)</f>
        <v>High Value</v>
      </c>
    </row>
    <row r="26" spans="1:7">
      <c r="A26" s="1">
        <v>61</v>
      </c>
      <c r="B26" s="1" t="s">
        <v>66</v>
      </c>
      <c r="C26" s="1" t="s">
        <v>47</v>
      </c>
      <c r="D26" s="1">
        <v>264</v>
      </c>
      <c r="E26" s="20">
        <v>71242534</v>
      </c>
      <c r="F26">
        <f t="shared" si="0"/>
        <v>87.9</v>
      </c>
      <c r="G26" t="str" cm="1">
        <f t="array" ref="G26">_xlfn.IFS(
  F26 &gt;= 90, "Key Opinion Leader",
  F26 &gt;= 70, "High Value",
  F26 &gt;= 30, "Standard",
  TRUE, "Low Engagement"
)</f>
        <v>High Value</v>
      </c>
    </row>
    <row r="27" spans="1:7">
      <c r="A27" s="1">
        <v>22</v>
      </c>
      <c r="B27" s="1" t="s">
        <v>67</v>
      </c>
      <c r="C27" s="1" t="s">
        <v>51</v>
      </c>
      <c r="D27" s="1">
        <v>261</v>
      </c>
      <c r="E27" s="20">
        <v>71201455</v>
      </c>
      <c r="F27">
        <f t="shared" si="0"/>
        <v>87.4</v>
      </c>
      <c r="G27" t="str" cm="1">
        <f t="array" ref="G27">_xlfn.IFS(
  F27 &gt;= 90, "Key Opinion Leader",
  F27 &gt;= 70, "High Value",
  F27 &gt;= 30, "Standard",
  TRUE, "Low Engagement"
)</f>
        <v>High Value</v>
      </c>
    </row>
    <row r="28" spans="1:7">
      <c r="A28" s="1">
        <v>51</v>
      </c>
      <c r="B28" s="1" t="s">
        <v>68</v>
      </c>
      <c r="C28" s="1" t="s">
        <v>38</v>
      </c>
      <c r="D28" s="1">
        <v>243</v>
      </c>
      <c r="E28" s="20">
        <v>71032175</v>
      </c>
      <c r="F28">
        <f t="shared" si="0"/>
        <v>86.9</v>
      </c>
      <c r="G28" t="str" cm="1">
        <f t="array" ref="G28">_xlfn.IFS(
  F28 &gt;= 90, "Key Opinion Leader",
  F28 &gt;= 70, "High Value",
  F28 &gt;= 30, "Standard",
  TRUE, "Low Engagement"
)</f>
        <v>High Value</v>
      </c>
    </row>
    <row r="29" spans="1:7">
      <c r="A29" s="1">
        <v>103</v>
      </c>
      <c r="B29" s="1" t="s">
        <v>69</v>
      </c>
      <c r="C29" s="1" t="s">
        <v>47</v>
      </c>
      <c r="D29" s="1">
        <v>278</v>
      </c>
      <c r="E29" s="20">
        <v>70781765</v>
      </c>
      <c r="F29">
        <f t="shared" si="0"/>
        <v>86.4</v>
      </c>
      <c r="G29" t="str" cm="1">
        <f t="array" ref="G29">_xlfn.IFS(
  F29 &gt;= 90, "Key Opinion Leader",
  F29 &gt;= 70, "High Value",
  F29 &gt;= 30, "Standard",
  TRUE, "Low Engagement"
)</f>
        <v>High Value</v>
      </c>
    </row>
    <row r="30" spans="1:7">
      <c r="A30" s="1">
        <v>26</v>
      </c>
      <c r="B30" s="1" t="s">
        <v>70</v>
      </c>
      <c r="C30" s="1" t="s">
        <v>36</v>
      </c>
      <c r="D30" s="1">
        <v>263</v>
      </c>
      <c r="E30" s="20">
        <v>70771950</v>
      </c>
      <c r="F30">
        <f t="shared" si="0"/>
        <v>85.9</v>
      </c>
      <c r="G30" t="str" cm="1">
        <f t="array" ref="G30">_xlfn.IFS(
  F30 &gt;= 90, "Key Opinion Leader",
  F30 &gt;= 70, "High Value",
  F30 &gt;= 30, "Standard",
  TRUE, "Low Engagement"
)</f>
        <v>High Value</v>
      </c>
    </row>
    <row r="31" spans="1:7">
      <c r="A31" s="1">
        <v>197</v>
      </c>
      <c r="B31" s="1" t="s">
        <v>71</v>
      </c>
      <c r="C31" s="1" t="s">
        <v>38</v>
      </c>
      <c r="D31" s="1">
        <v>280</v>
      </c>
      <c r="E31" s="20">
        <v>70669748</v>
      </c>
      <c r="F31">
        <f t="shared" si="0"/>
        <v>85.4</v>
      </c>
      <c r="G31" t="str" cm="1">
        <f t="array" ref="G31">_xlfn.IFS(
  F31 &gt;= 90, "Key Opinion Leader",
  F31 &gt;= 70, "High Value",
  F31 &gt;= 30, "Standard",
  TRUE, "Low Engagement"
)</f>
        <v>High Value</v>
      </c>
    </row>
    <row r="32" spans="1:7">
      <c r="A32" s="1">
        <v>48</v>
      </c>
      <c r="B32" s="1" t="s">
        <v>72</v>
      </c>
      <c r="C32" s="1" t="s">
        <v>51</v>
      </c>
      <c r="D32" s="1">
        <v>278</v>
      </c>
      <c r="E32" s="20">
        <v>70420314</v>
      </c>
      <c r="F32">
        <f t="shared" si="0"/>
        <v>84.9</v>
      </c>
      <c r="G32" t="str" cm="1">
        <f t="array" ref="G32">_xlfn.IFS(
  F32 &gt;= 90, "Key Opinion Leader",
  F32 &gt;= 70, "High Value",
  F32 &gt;= 30, "Standard",
  TRUE, "Low Engagement"
)</f>
        <v>High Value</v>
      </c>
    </row>
    <row r="33" spans="1:7">
      <c r="A33" s="1">
        <v>125</v>
      </c>
      <c r="B33" s="1" t="s">
        <v>73</v>
      </c>
      <c r="C33" s="1" t="s">
        <v>60</v>
      </c>
      <c r="D33" s="1">
        <v>259</v>
      </c>
      <c r="E33" s="20">
        <v>70397184</v>
      </c>
      <c r="F33">
        <f t="shared" si="0"/>
        <v>84.4</v>
      </c>
      <c r="G33" t="str" cm="1">
        <f t="array" ref="G33">_xlfn.IFS(
  F33 &gt;= 90, "Key Opinion Leader",
  F33 &gt;= 70, "High Value",
  F33 &gt;= 30, "Standard",
  TRUE, "Low Engagement"
)</f>
        <v>High Value</v>
      </c>
    </row>
    <row r="34" spans="1:7">
      <c r="A34" s="1">
        <v>41</v>
      </c>
      <c r="B34" s="1" t="s">
        <v>74</v>
      </c>
      <c r="C34" s="1" t="s">
        <v>49</v>
      </c>
      <c r="D34" s="1">
        <v>259</v>
      </c>
      <c r="E34" s="20">
        <v>70323137</v>
      </c>
      <c r="F34">
        <f t="shared" si="0"/>
        <v>83.9</v>
      </c>
      <c r="G34" t="str" cm="1">
        <f t="array" ref="G34">_xlfn.IFS(
  F34 &gt;= 90, "Key Opinion Leader",
  F34 &gt;= 70, "High Value",
  F34 &gt;= 30, "Standard",
  TRUE, "Low Engagement"
)</f>
        <v>High Value</v>
      </c>
    </row>
    <row r="35" spans="1:7">
      <c r="A35" s="1">
        <v>38</v>
      </c>
      <c r="B35" s="1" t="s">
        <v>75</v>
      </c>
      <c r="C35" s="1" t="s">
        <v>47</v>
      </c>
      <c r="D35" s="1">
        <v>272</v>
      </c>
      <c r="E35" s="20">
        <v>70221590</v>
      </c>
      <c r="F35">
        <f t="shared" si="0"/>
        <v>83.4</v>
      </c>
      <c r="G35" t="str" cm="1">
        <f t="array" ref="G35">_xlfn.IFS(
  F35 &gt;= 90, "Key Opinion Leader",
  F35 &gt;= 70, "High Value",
  F35 &gt;= 30, "Standard",
  TRUE, "Low Engagement"
)</f>
        <v>High Value</v>
      </c>
    </row>
    <row r="36" spans="1:7">
      <c r="A36" s="1">
        <v>33</v>
      </c>
      <c r="B36" s="1" t="s">
        <v>76</v>
      </c>
      <c r="C36" s="1" t="s">
        <v>38</v>
      </c>
      <c r="D36" s="1">
        <v>269</v>
      </c>
      <c r="E36" s="20">
        <v>70216669</v>
      </c>
      <c r="F36">
        <f t="shared" si="0"/>
        <v>82.9</v>
      </c>
      <c r="G36" t="str" cm="1">
        <f t="array" ref="G36">_xlfn.IFS(
  F36 &gt;= 90, "Key Opinion Leader",
  F36 &gt;= 70, "High Value",
  F36 &gt;= 30, "Standard",
  TRUE, "Low Engagement"
)</f>
        <v>High Value</v>
      </c>
    </row>
    <row r="37" spans="1:7">
      <c r="A37" s="1">
        <v>91</v>
      </c>
      <c r="B37" s="1" t="s">
        <v>77</v>
      </c>
      <c r="C37" s="1" t="s">
        <v>36</v>
      </c>
      <c r="D37" s="1">
        <v>274</v>
      </c>
      <c r="E37" s="20">
        <v>70019416</v>
      </c>
      <c r="F37">
        <f t="shared" si="0"/>
        <v>82.4</v>
      </c>
      <c r="G37" t="str" cm="1">
        <f t="array" ref="G37">_xlfn.IFS(
  F37 &gt;= 90, "Key Opinion Leader",
  F37 &gt;= 70, "High Value",
  F37 &gt;= 30, "Standard",
  TRUE, "Low Engagement"
)</f>
        <v>High Value</v>
      </c>
    </row>
    <row r="38" spans="1:7">
      <c r="A38" s="1">
        <v>130</v>
      </c>
      <c r="B38" s="1" t="s">
        <v>78</v>
      </c>
      <c r="C38" s="1" t="s">
        <v>60</v>
      </c>
      <c r="D38" s="1">
        <v>255</v>
      </c>
      <c r="E38" s="20">
        <v>69750989</v>
      </c>
      <c r="F38">
        <f t="shared" si="0"/>
        <v>81.900000000000006</v>
      </c>
      <c r="G38" t="str" cm="1">
        <f t="array" ref="G38">_xlfn.IFS(
  F38 &gt;= 90, "Key Opinion Leader",
  F38 &gt;= 70, "High Value",
  F38 &gt;= 30, "Standard",
  TRUE, "Low Engagement"
)</f>
        <v>High Value</v>
      </c>
    </row>
    <row r="39" spans="1:7">
      <c r="A39" s="1">
        <v>145</v>
      </c>
      <c r="B39" s="1" t="s">
        <v>79</v>
      </c>
      <c r="C39" s="1" t="s">
        <v>47</v>
      </c>
      <c r="D39" s="1">
        <v>273</v>
      </c>
      <c r="E39" s="20">
        <v>69605922</v>
      </c>
      <c r="F39">
        <f t="shared" si="0"/>
        <v>81.400000000000006</v>
      </c>
      <c r="G39" t="str" cm="1">
        <f t="array" ref="G39">_xlfn.IFS(
  F39 &gt;= 90, "Key Opinion Leader",
  F39 &gt;= 70, "High Value",
  F39 &gt;= 30, "Standard",
  TRUE, "Low Engagement"
)</f>
        <v>High Value</v>
      </c>
    </row>
    <row r="40" spans="1:7">
      <c r="A40" s="1">
        <v>141</v>
      </c>
      <c r="B40" s="1" t="s">
        <v>80</v>
      </c>
      <c r="C40" s="1" t="s">
        <v>51</v>
      </c>
      <c r="D40" s="1">
        <v>253</v>
      </c>
      <c r="E40" s="20">
        <v>69603250</v>
      </c>
      <c r="F40">
        <f t="shared" si="0"/>
        <v>80.900000000000006</v>
      </c>
      <c r="G40" t="str" cm="1">
        <f t="array" ref="G40">_xlfn.IFS(
  F40 &gt;= 90, "Key Opinion Leader",
  F40 &gt;= 70, "High Value",
  F40 &gt;= 30, "Standard",
  TRUE, "Low Engagement"
)</f>
        <v>High Value</v>
      </c>
    </row>
    <row r="41" spans="1:7">
      <c r="A41" s="1">
        <v>111</v>
      </c>
      <c r="B41" s="1" t="s">
        <v>81</v>
      </c>
      <c r="C41" s="1" t="s">
        <v>47</v>
      </c>
      <c r="D41" s="1">
        <v>257</v>
      </c>
      <c r="E41" s="20">
        <v>69551185</v>
      </c>
      <c r="F41">
        <f t="shared" si="0"/>
        <v>80.400000000000006</v>
      </c>
      <c r="G41" t="str" cm="1">
        <f t="array" ref="G41">_xlfn.IFS(
  F41 &gt;= 90, "Key Opinion Leader",
  F41 &gt;= 70, "High Value",
  F41 &gt;= 30, "Standard",
  TRUE, "Low Engagement"
)</f>
        <v>High Value</v>
      </c>
    </row>
    <row r="42" spans="1:7">
      <c r="A42" s="1">
        <v>77</v>
      </c>
      <c r="B42" s="1" t="s">
        <v>82</v>
      </c>
      <c r="C42" s="1" t="s">
        <v>38</v>
      </c>
      <c r="D42" s="1">
        <v>277</v>
      </c>
      <c r="E42" s="20">
        <v>69495039</v>
      </c>
      <c r="F42">
        <f t="shared" si="0"/>
        <v>79.8</v>
      </c>
      <c r="G42" t="str" cm="1">
        <f t="array" ref="G42">_xlfn.IFS(
  F42 &gt;= 90, "Key Opinion Leader",
  F42 &gt;= 70, "High Value",
  F42 &gt;= 30, "Standard",
  TRUE, "Low Engagement"
)</f>
        <v>High Value</v>
      </c>
    </row>
    <row r="43" spans="1:7">
      <c r="A43" s="1">
        <v>88</v>
      </c>
      <c r="B43" s="1" t="s">
        <v>83</v>
      </c>
      <c r="C43" s="1" t="s">
        <v>51</v>
      </c>
      <c r="D43" s="1">
        <v>277</v>
      </c>
      <c r="E43" s="20">
        <v>69244976</v>
      </c>
      <c r="F43">
        <f t="shared" si="0"/>
        <v>79.3</v>
      </c>
      <c r="G43" t="str" cm="1">
        <f t="array" ref="G43">_xlfn.IFS(
  F43 &gt;= 90, "Key Opinion Leader",
  F43 &gt;= 70, "High Value",
  F43 &gt;= 30, "Standard",
  TRUE, "Low Engagement"
)</f>
        <v>High Value</v>
      </c>
    </row>
    <row r="44" spans="1:7">
      <c r="A44" s="1">
        <v>131</v>
      </c>
      <c r="B44" s="1" t="s">
        <v>84</v>
      </c>
      <c r="C44" s="1" t="s">
        <v>38</v>
      </c>
      <c r="D44" s="1">
        <v>254</v>
      </c>
      <c r="E44" s="20">
        <v>69158992</v>
      </c>
      <c r="F44">
        <f t="shared" si="0"/>
        <v>78.8</v>
      </c>
      <c r="G44" t="str" cm="1">
        <f t="array" ref="G44">_xlfn.IFS(
  F44 &gt;= 90, "Key Opinion Leader",
  F44 &gt;= 70, "High Value",
  F44 &gt;= 30, "Standard",
  TRUE, "Low Engagement"
)</f>
        <v>High Value</v>
      </c>
    </row>
    <row r="45" spans="1:7">
      <c r="A45" s="1">
        <v>196</v>
      </c>
      <c r="B45" s="1" t="s">
        <v>85</v>
      </c>
      <c r="C45" s="1" t="s">
        <v>47</v>
      </c>
      <c r="D45" s="1">
        <v>270</v>
      </c>
      <c r="E45" s="20">
        <v>69122003</v>
      </c>
      <c r="F45">
        <f t="shared" si="0"/>
        <v>78.3</v>
      </c>
      <c r="G45" t="str" cm="1">
        <f t="array" ref="G45">_xlfn.IFS(
  F45 &gt;= 90, "Key Opinion Leader",
  F45 &gt;= 70, "High Value",
  F45 &gt;= 30, "Standard",
  TRUE, "Low Engagement"
)</f>
        <v>High Value</v>
      </c>
    </row>
    <row r="46" spans="1:7">
      <c r="A46" s="1">
        <v>47</v>
      </c>
      <c r="B46" s="1" t="s">
        <v>86</v>
      </c>
      <c r="C46" s="1" t="s">
        <v>47</v>
      </c>
      <c r="D46" s="1">
        <v>266</v>
      </c>
      <c r="E46" s="20">
        <v>68805987</v>
      </c>
      <c r="F46">
        <f t="shared" si="0"/>
        <v>77.8</v>
      </c>
      <c r="G46" t="str" cm="1">
        <f t="array" ref="G46">_xlfn.IFS(
  F46 &gt;= 90, "Key Opinion Leader",
  F46 &gt;= 70, "High Value",
  F46 &gt;= 30, "Standard",
  TRUE, "Low Engagement"
)</f>
        <v>High Value</v>
      </c>
    </row>
    <row r="47" spans="1:7">
      <c r="A47" s="1">
        <v>68</v>
      </c>
      <c r="B47" s="1" t="s">
        <v>87</v>
      </c>
      <c r="C47" s="1" t="s">
        <v>38</v>
      </c>
      <c r="D47" s="1">
        <v>250</v>
      </c>
      <c r="E47" s="20">
        <v>68687733</v>
      </c>
      <c r="F47">
        <f t="shared" si="0"/>
        <v>77.3</v>
      </c>
      <c r="G47" t="str" cm="1">
        <f t="array" ref="G47">_xlfn.IFS(
  F47 &gt;= 90, "Key Opinion Leader",
  F47 &gt;= 70, "High Value",
  F47 &gt;= 30, "Standard",
  TRUE, "Low Engagement"
)</f>
        <v>High Value</v>
      </c>
    </row>
    <row r="48" spans="1:7">
      <c r="A48" s="1">
        <v>85</v>
      </c>
      <c r="B48" s="1" t="s">
        <v>88</v>
      </c>
      <c r="C48" s="1" t="s">
        <v>36</v>
      </c>
      <c r="D48" s="1">
        <v>245</v>
      </c>
      <c r="E48" s="20">
        <v>68435495</v>
      </c>
      <c r="F48">
        <f t="shared" si="0"/>
        <v>76.8</v>
      </c>
      <c r="G48" t="str" cm="1">
        <f t="array" ref="G48">_xlfn.IFS(
  F48 &gt;= 90, "Key Opinion Leader",
  F48 &gt;= 70, "High Value",
  F48 &gt;= 30, "Standard",
  TRUE, "Low Engagement"
)</f>
        <v>High Value</v>
      </c>
    </row>
    <row r="49" spans="1:7">
      <c r="A49" s="1">
        <v>75</v>
      </c>
      <c r="B49" s="1" t="s">
        <v>89</v>
      </c>
      <c r="C49" s="1" t="s">
        <v>49</v>
      </c>
      <c r="D49" s="1">
        <v>250</v>
      </c>
      <c r="E49" s="20">
        <v>68421249</v>
      </c>
      <c r="F49">
        <f t="shared" si="0"/>
        <v>76.3</v>
      </c>
      <c r="G49" t="str" cm="1">
        <f t="array" ref="G49">_xlfn.IFS(
  F49 &gt;= 90, "Key Opinion Leader",
  F49 &gt;= 70, "High Value",
  F49 &gt;= 30, "Standard",
  TRUE, "Low Engagement"
)</f>
        <v>High Value</v>
      </c>
    </row>
    <row r="50" spans="1:7">
      <c r="A50" s="1">
        <v>8</v>
      </c>
      <c r="B50" s="1" t="s">
        <v>90</v>
      </c>
      <c r="C50" s="1" t="s">
        <v>47</v>
      </c>
      <c r="D50" s="1">
        <v>265</v>
      </c>
      <c r="E50" s="20">
        <v>68328810</v>
      </c>
      <c r="F50">
        <f t="shared" si="0"/>
        <v>75.8</v>
      </c>
      <c r="G50" t="str" cm="1">
        <f t="array" ref="G50">_xlfn.IFS(
  F50 &gt;= 90, "Key Opinion Leader",
  F50 &gt;= 70, "High Value",
  F50 &gt;= 30, "Standard",
  TRUE, "Low Engagement"
)</f>
        <v>High Value</v>
      </c>
    </row>
    <row r="51" spans="1:7">
      <c r="A51" s="1">
        <v>156</v>
      </c>
      <c r="B51" s="1" t="s">
        <v>91</v>
      </c>
      <c r="C51" s="1" t="s">
        <v>36</v>
      </c>
      <c r="D51" s="1">
        <v>263</v>
      </c>
      <c r="E51" s="20">
        <v>68274118</v>
      </c>
      <c r="F51">
        <f t="shared" si="0"/>
        <v>75.3</v>
      </c>
      <c r="G51" t="str" cm="1">
        <f t="array" ref="G51">_xlfn.IFS(
  F51 &gt;= 90, "Key Opinion Leader",
  F51 &gt;= 70, "High Value",
  F51 &gt;= 30, "Standard",
  TRUE, "Low Engagement"
)</f>
        <v>High Value</v>
      </c>
    </row>
    <row r="52" spans="1:7">
      <c r="A52" s="1">
        <v>160</v>
      </c>
      <c r="B52" s="1" t="s">
        <v>92</v>
      </c>
      <c r="C52" s="1" t="s">
        <v>47</v>
      </c>
      <c r="D52" s="1">
        <v>272</v>
      </c>
      <c r="E52" s="20">
        <v>68264653</v>
      </c>
      <c r="F52">
        <f t="shared" si="0"/>
        <v>74.8</v>
      </c>
      <c r="G52" t="str" cm="1">
        <f t="array" ref="G52">_xlfn.IFS(
  F52 &gt;= 90, "Key Opinion Leader",
  F52 &gt;= 70, "High Value",
  F52 &gt;= 30, "Standard",
  TRUE, "Low Engagement"
)</f>
        <v>High Value</v>
      </c>
    </row>
    <row r="53" spans="1:7">
      <c r="A53" s="1">
        <v>60</v>
      </c>
      <c r="B53" s="1" t="s">
        <v>93</v>
      </c>
      <c r="C53" s="1" t="s">
        <v>36</v>
      </c>
      <c r="D53" s="1">
        <v>250</v>
      </c>
      <c r="E53" s="20">
        <v>68167135</v>
      </c>
      <c r="F53">
        <f t="shared" si="0"/>
        <v>74.3</v>
      </c>
      <c r="G53" t="str" cm="1">
        <f t="array" ref="G53">_xlfn.IFS(
  F53 &gt;= 90, "Key Opinion Leader",
  F53 &gt;= 70, "High Value",
  F53 &gt;= 30, "Standard",
  TRUE, "Low Engagement"
)</f>
        <v>High Value</v>
      </c>
    </row>
    <row r="54" spans="1:7">
      <c r="A54" s="1">
        <v>1</v>
      </c>
      <c r="B54" s="1" t="s">
        <v>94</v>
      </c>
      <c r="C54" s="1" t="s">
        <v>47</v>
      </c>
      <c r="D54" s="1">
        <v>255</v>
      </c>
      <c r="E54" s="20">
        <v>68117765</v>
      </c>
      <c r="F54">
        <f t="shared" si="0"/>
        <v>73.8</v>
      </c>
      <c r="G54" t="str" cm="1">
        <f t="array" ref="G54">_xlfn.IFS(
  F54 &gt;= 90, "Key Opinion Leader",
  F54 &gt;= 70, "High Value",
  F54 &gt;= 30, "Standard",
  TRUE, "Low Engagement"
)</f>
        <v>High Value</v>
      </c>
    </row>
    <row r="55" spans="1:7">
      <c r="A55" s="1">
        <v>183</v>
      </c>
      <c r="B55" s="1" t="s">
        <v>95</v>
      </c>
      <c r="C55" s="1" t="s">
        <v>47</v>
      </c>
      <c r="D55" s="1">
        <v>259</v>
      </c>
      <c r="E55" s="20">
        <v>68090232</v>
      </c>
      <c r="F55">
        <f t="shared" si="0"/>
        <v>73.3</v>
      </c>
      <c r="G55" t="str" cm="1">
        <f t="array" ref="G55">_xlfn.IFS(
  F55 &gt;= 90, "Key Opinion Leader",
  F55 &gt;= 70, "High Value",
  F55 &gt;= 30, "Standard",
  TRUE, "Low Engagement"
)</f>
        <v>High Value</v>
      </c>
    </row>
    <row r="56" spans="1:7">
      <c r="A56" s="1">
        <v>23</v>
      </c>
      <c r="B56" s="1" t="s">
        <v>96</v>
      </c>
      <c r="C56" s="1" t="s">
        <v>47</v>
      </c>
      <c r="D56" s="1">
        <v>256</v>
      </c>
      <c r="E56" s="20">
        <v>68046401</v>
      </c>
      <c r="F56">
        <f t="shared" si="0"/>
        <v>72.8</v>
      </c>
      <c r="G56" t="str" cm="1">
        <f t="array" ref="G56">_xlfn.IFS(
  F56 &gt;= 90, "Key Opinion Leader",
  F56 &gt;= 70, "High Value",
  F56 &gt;= 30, "Standard",
  TRUE, "Low Engagement"
)</f>
        <v>High Value</v>
      </c>
    </row>
    <row r="57" spans="1:7">
      <c r="A57" s="1">
        <v>29</v>
      </c>
      <c r="B57" s="1" t="s">
        <v>97</v>
      </c>
      <c r="C57" s="1" t="s">
        <v>42</v>
      </c>
      <c r="D57" s="1">
        <v>242</v>
      </c>
      <c r="E57" s="20">
        <v>68027236</v>
      </c>
      <c r="F57">
        <f t="shared" si="0"/>
        <v>72.3</v>
      </c>
      <c r="G57" t="str" cm="1">
        <f t="array" ref="G57">_xlfn.IFS(
  F57 &gt;= 90, "Key Opinion Leader",
  F57 &gt;= 70, "High Value",
  F57 &gt;= 30, "Standard",
  TRUE, "Low Engagement"
)</f>
        <v>High Value</v>
      </c>
    </row>
    <row r="58" spans="1:7">
      <c r="A58" s="1">
        <v>19</v>
      </c>
      <c r="B58" s="1" t="s">
        <v>98</v>
      </c>
      <c r="C58" s="1" t="s">
        <v>38</v>
      </c>
      <c r="D58" s="1">
        <v>263</v>
      </c>
      <c r="E58" s="20">
        <v>67930785</v>
      </c>
      <c r="F58">
        <f t="shared" si="0"/>
        <v>71.8</v>
      </c>
      <c r="G58" t="str" cm="1">
        <f t="array" ref="G58">_xlfn.IFS(
  F58 &gt;= 90, "Key Opinion Leader",
  F58 &gt;= 70, "High Value",
  F58 &gt;= 30, "Standard",
  TRUE, "Low Engagement"
)</f>
        <v>High Value</v>
      </c>
    </row>
    <row r="59" spans="1:7">
      <c r="A59" s="1">
        <v>182</v>
      </c>
      <c r="B59" s="1" t="s">
        <v>99</v>
      </c>
      <c r="C59" s="1" t="s">
        <v>47</v>
      </c>
      <c r="D59" s="1">
        <v>272</v>
      </c>
      <c r="E59" s="20">
        <v>67827850</v>
      </c>
      <c r="F59">
        <f t="shared" si="0"/>
        <v>71.3</v>
      </c>
      <c r="G59" t="str" cm="1">
        <f t="array" ref="G59">_xlfn.IFS(
  F59 &gt;= 90, "Key Opinion Leader",
  F59 &gt;= 70, "High Value",
  F59 &gt;= 30, "Standard",
  TRUE, "Low Engagement"
)</f>
        <v>High Value</v>
      </c>
    </row>
    <row r="60" spans="1:7">
      <c r="A60" s="1">
        <v>176</v>
      </c>
      <c r="B60" s="1" t="s">
        <v>100</v>
      </c>
      <c r="C60" s="1" t="s">
        <v>38</v>
      </c>
      <c r="D60" s="1">
        <v>246</v>
      </c>
      <c r="E60" s="20">
        <v>67806712</v>
      </c>
      <c r="F60">
        <f t="shared" si="0"/>
        <v>70.8</v>
      </c>
      <c r="G60" t="str" cm="1">
        <f t="array" ref="G60">_xlfn.IFS(
  F60 &gt;= 90, "Key Opinion Leader",
  F60 &gt;= 70, "High Value",
  F60 &gt;= 30, "Standard",
  TRUE, "Low Engagement"
)</f>
        <v>High Value</v>
      </c>
    </row>
    <row r="61" spans="1:7">
      <c r="A61" s="1">
        <v>39</v>
      </c>
      <c r="B61" s="1" t="s">
        <v>101</v>
      </c>
      <c r="C61" s="1" t="s">
        <v>38</v>
      </c>
      <c r="D61" s="1">
        <v>249</v>
      </c>
      <c r="E61" s="20">
        <v>67572225</v>
      </c>
      <c r="F61">
        <f t="shared" si="0"/>
        <v>70.3</v>
      </c>
      <c r="G61" t="str" cm="1">
        <f t="array" ref="G61">_xlfn.IFS(
  F61 &gt;= 90, "Key Opinion Leader",
  F61 &gt;= 70, "High Value",
  F61 &gt;= 30, "Standard",
  TRUE, "Low Engagement"
)</f>
        <v>High Value</v>
      </c>
    </row>
    <row r="62" spans="1:7">
      <c r="A62" s="1">
        <v>129</v>
      </c>
      <c r="B62" s="1" t="s">
        <v>102</v>
      </c>
      <c r="C62" s="1" t="s">
        <v>47</v>
      </c>
      <c r="D62" s="1">
        <v>262</v>
      </c>
      <c r="E62" s="20">
        <v>67400879</v>
      </c>
      <c r="F62">
        <f t="shared" si="0"/>
        <v>69.8</v>
      </c>
      <c r="G62" t="str" cm="1">
        <f t="array" ref="G62">_xlfn.IFS(
  F62 &gt;= 90, "Key Opinion Leader",
  F62 &gt;= 70, "High Value",
  F62 &gt;= 30, "Standard",
  TRUE, "Low Engagement"
)</f>
        <v>Standard</v>
      </c>
    </row>
    <row r="63" spans="1:7">
      <c r="A63" s="1">
        <v>122</v>
      </c>
      <c r="B63" s="1" t="s">
        <v>103</v>
      </c>
      <c r="C63" s="1" t="s">
        <v>47</v>
      </c>
      <c r="D63" s="1">
        <v>262</v>
      </c>
      <c r="E63" s="20">
        <v>67376740</v>
      </c>
      <c r="F63">
        <f t="shared" si="0"/>
        <v>69.3</v>
      </c>
      <c r="G63" t="str" cm="1">
        <f t="array" ref="G63">_xlfn.IFS(
  F63 &gt;= 90, "Key Opinion Leader",
  F63 &gt;= 70, "High Value",
  F63 &gt;= 30, "Standard",
  TRUE, "Low Engagement"
)</f>
        <v>Standard</v>
      </c>
    </row>
    <row r="64" spans="1:7">
      <c r="A64" s="1">
        <v>37</v>
      </c>
      <c r="B64" s="1" t="s">
        <v>104</v>
      </c>
      <c r="C64" s="1" t="s">
        <v>38</v>
      </c>
      <c r="D64" s="1">
        <v>273</v>
      </c>
      <c r="E64" s="20">
        <v>66991530</v>
      </c>
      <c r="F64">
        <f t="shared" si="0"/>
        <v>68.8</v>
      </c>
      <c r="G64" t="str" cm="1">
        <f t="array" ref="G64">_xlfn.IFS(
  F64 &gt;= 90, "Key Opinion Leader",
  F64 &gt;= 70, "High Value",
  F64 &gt;= 30, "Standard",
  TRUE, "Low Engagement"
)</f>
        <v>Standard</v>
      </c>
    </row>
    <row r="65" spans="1:7">
      <c r="A65" s="1">
        <v>155</v>
      </c>
      <c r="B65" s="1" t="s">
        <v>105</v>
      </c>
      <c r="C65" s="1" t="s">
        <v>38</v>
      </c>
      <c r="D65" s="1">
        <v>265</v>
      </c>
      <c r="E65" s="20">
        <v>66919756</v>
      </c>
      <c r="F65">
        <f t="shared" si="0"/>
        <v>68.3</v>
      </c>
      <c r="G65" t="str" cm="1">
        <f t="array" ref="G65">_xlfn.IFS(
  F65 &gt;= 90, "Key Opinion Leader",
  F65 &gt;= 70, "High Value",
  F65 &gt;= 30, "Standard",
  TRUE, "Low Engagement"
)</f>
        <v>Standard</v>
      </c>
    </row>
    <row r="66" spans="1:7">
      <c r="A66" s="1">
        <v>105</v>
      </c>
      <c r="B66" s="1" t="s">
        <v>106</v>
      </c>
      <c r="C66" s="1" t="s">
        <v>38</v>
      </c>
      <c r="D66" s="1">
        <v>250</v>
      </c>
      <c r="E66" s="20">
        <v>66901749</v>
      </c>
      <c r="F66">
        <f t="shared" si="0"/>
        <v>67.8</v>
      </c>
      <c r="G66" t="str" cm="1">
        <f t="array" ref="G66">_xlfn.IFS(
  F66 &gt;= 90, "Key Opinion Leader",
  F66 &gt;= 70, "High Value",
  F66 &gt;= 30, "Standard",
  TRUE, "Low Engagement"
)</f>
        <v>Standard</v>
      </c>
    </row>
    <row r="67" spans="1:7">
      <c r="A67" s="1">
        <v>52</v>
      </c>
      <c r="B67" s="1" t="s">
        <v>107</v>
      </c>
      <c r="C67" s="1" t="s">
        <v>49</v>
      </c>
      <c r="D67" s="1">
        <v>246</v>
      </c>
      <c r="E67" s="20">
        <v>66865282</v>
      </c>
      <c r="F67">
        <f t="shared" ref="F67:F130" si="1">ROUND(_xlfn.PERCENTRANK.INC($E$2:$E$201, E67) * 100, 1)</f>
        <v>67.3</v>
      </c>
      <c r="G67" t="str" cm="1">
        <f t="array" ref="G67">_xlfn.IFS(
  F67 &gt;= 90, "Key Opinion Leader",
  F67 &gt;= 70, "High Value",
  F67 &gt;= 30, "Standard",
  TRUE, "Low Engagement"
)</f>
        <v>Standard</v>
      </c>
    </row>
    <row r="68" spans="1:7">
      <c r="A68" s="1">
        <v>86</v>
      </c>
      <c r="B68" s="1" t="s">
        <v>108</v>
      </c>
      <c r="C68" s="1" t="s">
        <v>47</v>
      </c>
      <c r="D68" s="1">
        <v>259</v>
      </c>
      <c r="E68" s="20">
        <v>66822944</v>
      </c>
      <c r="F68">
        <f t="shared" si="1"/>
        <v>66.8</v>
      </c>
      <c r="G68" t="str" cm="1">
        <f t="array" ref="G68">_xlfn.IFS(
  F68 &gt;= 90, "Key Opinion Leader",
  F68 &gt;= 70, "High Value",
  F68 &gt;= 30, "Standard",
  TRUE, "Low Engagement"
)</f>
        <v>Standard</v>
      </c>
    </row>
    <row r="69" spans="1:7">
      <c r="A69" s="1">
        <v>102</v>
      </c>
      <c r="B69" s="1" t="s">
        <v>109</v>
      </c>
      <c r="C69" s="1" t="s">
        <v>47</v>
      </c>
      <c r="D69" s="1">
        <v>264</v>
      </c>
      <c r="E69" s="20">
        <v>66804375</v>
      </c>
      <c r="F69">
        <f t="shared" si="1"/>
        <v>66.3</v>
      </c>
      <c r="G69" t="str" cm="1">
        <f t="array" ref="G69">_xlfn.IFS(
  F69 &gt;= 90, "Key Opinion Leader",
  F69 &gt;= 70, "High Value",
  F69 &gt;= 30, "Standard",
  TRUE, "Low Engagement"
)</f>
        <v>Standard</v>
      </c>
    </row>
    <row r="70" spans="1:7">
      <c r="A70" s="1">
        <v>69</v>
      </c>
      <c r="B70" s="1" t="s">
        <v>110</v>
      </c>
      <c r="C70" s="1" t="s">
        <v>42</v>
      </c>
      <c r="D70" s="1">
        <v>265</v>
      </c>
      <c r="E70" s="20">
        <v>66773656</v>
      </c>
      <c r="F70">
        <f t="shared" si="1"/>
        <v>65.8</v>
      </c>
      <c r="G70" t="str" cm="1">
        <f t="array" ref="G70">_xlfn.IFS(
  F70 &gt;= 90, "Key Opinion Leader",
  F70 &gt;= 70, "High Value",
  F70 &gt;= 30, "Standard",
  TRUE, "Low Engagement"
)</f>
        <v>Standard</v>
      </c>
    </row>
    <row r="71" spans="1:7">
      <c r="A71" s="1">
        <v>10</v>
      </c>
      <c r="B71" s="1" t="s">
        <v>111</v>
      </c>
      <c r="C71" s="1" t="s">
        <v>47</v>
      </c>
      <c r="D71" s="1">
        <v>258</v>
      </c>
      <c r="E71" s="20">
        <v>66746431</v>
      </c>
      <c r="F71">
        <f t="shared" si="1"/>
        <v>65.3</v>
      </c>
      <c r="G71" t="str" cm="1">
        <f t="array" ref="G71">_xlfn.IFS(
  F71 &gt;= 90, "Key Opinion Leader",
  F71 &gt;= 70, "High Value",
  F71 &gt;= 30, "Standard",
  TRUE, "Low Engagement"
)</f>
        <v>Standard</v>
      </c>
    </row>
    <row r="72" spans="1:7">
      <c r="A72" s="1">
        <v>79</v>
      </c>
      <c r="B72" s="1" t="s">
        <v>112</v>
      </c>
      <c r="C72" s="1" t="s">
        <v>47</v>
      </c>
      <c r="D72" s="1">
        <v>270</v>
      </c>
      <c r="E72" s="20">
        <v>66733006</v>
      </c>
      <c r="F72">
        <f t="shared" si="1"/>
        <v>64.8</v>
      </c>
      <c r="G72" t="str" cm="1">
        <f t="array" ref="G72">_xlfn.IFS(
  F72 &gt;= 90, "Key Opinion Leader",
  F72 &gt;= 70, "High Value",
  F72 &gt;= 30, "Standard",
  TRUE, "Low Engagement"
)</f>
        <v>Standard</v>
      </c>
    </row>
    <row r="73" spans="1:7">
      <c r="A73" s="1">
        <v>98</v>
      </c>
      <c r="B73" s="1" t="s">
        <v>113</v>
      </c>
      <c r="C73" s="1" t="s">
        <v>49</v>
      </c>
      <c r="D73" s="1">
        <v>245</v>
      </c>
      <c r="E73" s="20">
        <v>66691396</v>
      </c>
      <c r="F73">
        <f t="shared" si="1"/>
        <v>64.3</v>
      </c>
      <c r="G73" t="str" cm="1">
        <f t="array" ref="G73">_xlfn.IFS(
  F73 &gt;= 90, "Key Opinion Leader",
  F73 &gt;= 70, "High Value",
  F73 &gt;= 30, "Standard",
  TRUE, "Low Engagement"
)</f>
        <v>Standard</v>
      </c>
    </row>
    <row r="74" spans="1:7">
      <c r="A74" s="1">
        <v>116</v>
      </c>
      <c r="B74" s="1" t="s">
        <v>114</v>
      </c>
      <c r="C74" s="1" t="s">
        <v>38</v>
      </c>
      <c r="D74" s="1">
        <v>273</v>
      </c>
      <c r="E74" s="20">
        <v>66678757</v>
      </c>
      <c r="F74">
        <f t="shared" si="1"/>
        <v>63.8</v>
      </c>
      <c r="G74" t="str" cm="1">
        <f t="array" ref="G74">_xlfn.IFS(
  F74 &gt;= 90, "Key Opinion Leader",
  F74 &gt;= 70, "High Value",
  F74 &gt;= 30, "Standard",
  TRUE, "Low Engagement"
)</f>
        <v>Standard</v>
      </c>
    </row>
    <row r="75" spans="1:7">
      <c r="A75" s="1">
        <v>73</v>
      </c>
      <c r="B75" s="1" t="s">
        <v>115</v>
      </c>
      <c r="C75" s="1" t="s">
        <v>38</v>
      </c>
      <c r="D75" s="1">
        <v>265</v>
      </c>
      <c r="E75" s="20">
        <v>66498845</v>
      </c>
      <c r="F75">
        <f t="shared" si="1"/>
        <v>63.3</v>
      </c>
      <c r="G75" t="str" cm="1">
        <f t="array" ref="G75">_xlfn.IFS(
  F75 &gt;= 90, "Key Opinion Leader",
  F75 &gt;= 70, "High Value",
  F75 &gt;= 30, "Standard",
  TRUE, "Low Engagement"
)</f>
        <v>Standard</v>
      </c>
    </row>
    <row r="76" spans="1:7">
      <c r="A76" s="1">
        <v>113</v>
      </c>
      <c r="B76" s="1" t="s">
        <v>116</v>
      </c>
      <c r="C76" s="1" t="s">
        <v>49</v>
      </c>
      <c r="D76" s="1">
        <v>253</v>
      </c>
      <c r="E76" s="20">
        <v>66460604</v>
      </c>
      <c r="F76">
        <f t="shared" si="1"/>
        <v>62.8</v>
      </c>
      <c r="G76" t="str" cm="1">
        <f t="array" ref="G76">_xlfn.IFS(
  F76 &gt;= 90, "Key Opinion Leader",
  F76 &gt;= 70, "High Value",
  F76 &gt;= 30, "Standard",
  TRUE, "Low Engagement"
)</f>
        <v>Standard</v>
      </c>
    </row>
    <row r="77" spans="1:7">
      <c r="A77" s="1">
        <v>96</v>
      </c>
      <c r="B77" s="1" t="s">
        <v>117</v>
      </c>
      <c r="C77" s="1" t="s">
        <v>47</v>
      </c>
      <c r="D77" s="1">
        <v>258</v>
      </c>
      <c r="E77" s="20">
        <v>66321914</v>
      </c>
      <c r="F77">
        <f t="shared" si="1"/>
        <v>62.3</v>
      </c>
      <c r="G77" t="str" cm="1">
        <f t="array" ref="G77">_xlfn.IFS(
  F77 &gt;= 90, "Key Opinion Leader",
  F77 &gt;= 70, "High Value",
  F77 &gt;= 30, "Standard",
  TRUE, "Low Engagement"
)</f>
        <v>Standard</v>
      </c>
    </row>
    <row r="78" spans="1:7">
      <c r="A78" s="1">
        <v>53</v>
      </c>
      <c r="B78" s="1" t="s">
        <v>118</v>
      </c>
      <c r="C78" s="1" t="s">
        <v>47</v>
      </c>
      <c r="D78" s="1">
        <v>262</v>
      </c>
      <c r="E78" s="20">
        <v>66279299</v>
      </c>
      <c r="F78">
        <f t="shared" si="1"/>
        <v>61.8</v>
      </c>
      <c r="G78" t="str" cm="1">
        <f t="array" ref="G78">_xlfn.IFS(
  F78 &gt;= 90, "Key Opinion Leader",
  F78 &gt;= 70, "High Value",
  F78 &gt;= 30, "Standard",
  TRUE, "Low Engagement"
)</f>
        <v>Standard</v>
      </c>
    </row>
    <row r="79" spans="1:7">
      <c r="A79" s="1">
        <v>18</v>
      </c>
      <c r="B79" s="1" t="s">
        <v>119</v>
      </c>
      <c r="C79" s="1" t="s">
        <v>49</v>
      </c>
      <c r="D79" s="1">
        <v>264</v>
      </c>
      <c r="E79" s="20">
        <v>66253381</v>
      </c>
      <c r="F79">
        <f t="shared" si="1"/>
        <v>61.3</v>
      </c>
      <c r="G79" t="str" cm="1">
        <f t="array" ref="G79">_xlfn.IFS(
  F79 &gt;= 90, "Key Opinion Leader",
  F79 &gt;= 70, "High Value",
  F79 &gt;= 30, "Standard",
  TRUE, "Low Engagement"
)</f>
        <v>Standard</v>
      </c>
    </row>
    <row r="80" spans="1:7">
      <c r="A80" s="1">
        <v>99</v>
      </c>
      <c r="B80" s="1" t="s">
        <v>120</v>
      </c>
      <c r="C80" s="1" t="s">
        <v>38</v>
      </c>
      <c r="D80" s="1">
        <v>263</v>
      </c>
      <c r="E80" s="20">
        <v>66248107</v>
      </c>
      <c r="F80">
        <f t="shared" si="1"/>
        <v>60.8</v>
      </c>
      <c r="G80" t="str" cm="1">
        <f t="array" ref="G80">_xlfn.IFS(
  F80 &gt;= 90, "Key Opinion Leader",
  F80 &gt;= 70, "High Value",
  F80 &gt;= 30, "Standard",
  TRUE, "Low Engagement"
)</f>
        <v>Standard</v>
      </c>
    </row>
    <row r="81" spans="1:7">
      <c r="A81" s="1">
        <v>198</v>
      </c>
      <c r="B81" s="1" t="s">
        <v>121</v>
      </c>
      <c r="C81" s="1" t="s">
        <v>36</v>
      </c>
      <c r="D81" s="1">
        <v>241</v>
      </c>
      <c r="E81" s="20">
        <v>66241130</v>
      </c>
      <c r="F81">
        <f t="shared" si="1"/>
        <v>60.3</v>
      </c>
      <c r="G81" t="str" cm="1">
        <f t="array" ref="G81">_xlfn.IFS(
  F81 &gt;= 90, "Key Opinion Leader",
  F81 &gt;= 70, "High Value",
  F81 &gt;= 30, "Standard",
  TRUE, "Low Engagement"
)</f>
        <v>Standard</v>
      </c>
    </row>
    <row r="82" spans="1:7">
      <c r="A82" s="1">
        <v>101</v>
      </c>
      <c r="B82" s="1" t="s">
        <v>122</v>
      </c>
      <c r="C82" s="1" t="s">
        <v>38</v>
      </c>
      <c r="D82" s="1">
        <v>248</v>
      </c>
      <c r="E82" s="20">
        <v>66237125</v>
      </c>
      <c r="F82">
        <f t="shared" si="1"/>
        <v>59.7</v>
      </c>
      <c r="G82" t="str" cm="1">
        <f t="array" ref="G82">_xlfn.IFS(
  F82 &gt;= 90, "Key Opinion Leader",
  F82 &gt;= 70, "High Value",
  F82 &gt;= 30, "Standard",
  TRUE, "Low Engagement"
)</f>
        <v>Standard</v>
      </c>
    </row>
    <row r="83" spans="1:7">
      <c r="A83" s="1">
        <v>121</v>
      </c>
      <c r="B83" s="1" t="s">
        <v>123</v>
      </c>
      <c r="C83" s="1" t="s">
        <v>38</v>
      </c>
      <c r="D83" s="1">
        <v>265</v>
      </c>
      <c r="E83" s="20">
        <v>66084805</v>
      </c>
      <c r="F83">
        <f t="shared" si="1"/>
        <v>59.2</v>
      </c>
      <c r="G83" t="str" cm="1">
        <f t="array" ref="G83">_xlfn.IFS(
  F83 &gt;= 90, "Key Opinion Leader",
  F83 &gt;= 70, "High Value",
  F83 &gt;= 30, "Standard",
  TRUE, "Low Engagement"
)</f>
        <v>Standard</v>
      </c>
    </row>
    <row r="84" spans="1:7">
      <c r="A84" s="1">
        <v>144</v>
      </c>
      <c r="B84" s="1" t="s">
        <v>124</v>
      </c>
      <c r="C84" s="1" t="s">
        <v>47</v>
      </c>
      <c r="D84" s="1">
        <v>248</v>
      </c>
      <c r="E84" s="20">
        <v>66022491</v>
      </c>
      <c r="F84">
        <f t="shared" si="1"/>
        <v>58.7</v>
      </c>
      <c r="G84" t="str" cm="1">
        <f t="array" ref="G84">_xlfn.IFS(
  F84 &gt;= 90, "Key Opinion Leader",
  F84 &gt;= 70, "High Value",
  F84 &gt;= 30, "Standard",
  TRUE, "Low Engagement"
)</f>
        <v>Standard</v>
      </c>
    </row>
    <row r="85" spans="1:7">
      <c r="A85" s="1">
        <v>97</v>
      </c>
      <c r="B85" s="1" t="s">
        <v>125</v>
      </c>
      <c r="C85" s="1" t="s">
        <v>51</v>
      </c>
      <c r="D85" s="1">
        <v>237</v>
      </c>
      <c r="E85" s="20">
        <v>65989941</v>
      </c>
      <c r="F85">
        <f t="shared" si="1"/>
        <v>58.2</v>
      </c>
      <c r="G85" t="str" cm="1">
        <f t="array" ref="G85">_xlfn.IFS(
  F85 &gt;= 90, "Key Opinion Leader",
  F85 &gt;= 70, "High Value",
  F85 &gt;= 30, "Standard",
  TRUE, "Low Engagement"
)</f>
        <v>Standard</v>
      </c>
    </row>
    <row r="86" spans="1:7">
      <c r="A86" s="1">
        <v>90</v>
      </c>
      <c r="B86" s="1" t="s">
        <v>126</v>
      </c>
      <c r="C86" s="1" t="s">
        <v>42</v>
      </c>
      <c r="D86" s="1">
        <v>266</v>
      </c>
      <c r="E86" s="20">
        <v>65942066</v>
      </c>
      <c r="F86">
        <f t="shared" si="1"/>
        <v>57.7</v>
      </c>
      <c r="G86" t="str" cm="1">
        <f t="array" ref="G86">_xlfn.IFS(
  F86 &gt;= 90, "Key Opinion Leader",
  F86 &gt;= 70, "High Value",
  F86 &gt;= 30, "Standard",
  TRUE, "Low Engagement"
)</f>
        <v>Standard</v>
      </c>
    </row>
    <row r="87" spans="1:7">
      <c r="A87" s="1">
        <v>112</v>
      </c>
      <c r="B87" s="1" t="s">
        <v>127</v>
      </c>
      <c r="C87" s="1" t="s">
        <v>38</v>
      </c>
      <c r="D87" s="1">
        <v>242</v>
      </c>
      <c r="E87" s="20">
        <v>65930275</v>
      </c>
      <c r="F87">
        <f t="shared" si="1"/>
        <v>57.2</v>
      </c>
      <c r="G87" t="str" cm="1">
        <f t="array" ref="G87">_xlfn.IFS(
  F87 &gt;= 90, "Key Opinion Leader",
  F87 &gt;= 70, "High Value",
  F87 &gt;= 30, "Standard",
  TRUE, "Low Engagement"
)</f>
        <v>Standard</v>
      </c>
    </row>
    <row r="88" spans="1:7">
      <c r="A88" s="1">
        <v>165</v>
      </c>
      <c r="B88" s="1" t="s">
        <v>128</v>
      </c>
      <c r="C88" s="1" t="s">
        <v>38</v>
      </c>
      <c r="D88" s="1">
        <v>268</v>
      </c>
      <c r="E88" s="20">
        <v>65928130</v>
      </c>
      <c r="F88">
        <f t="shared" si="1"/>
        <v>56.7</v>
      </c>
      <c r="G88" t="str" cm="1">
        <f t="array" ref="G88">_xlfn.IFS(
  F88 &gt;= 90, "Key Opinion Leader",
  F88 &gt;= 70, "High Value",
  F88 &gt;= 30, "Standard",
  TRUE, "Low Engagement"
)</f>
        <v>Standard</v>
      </c>
    </row>
    <row r="89" spans="1:7">
      <c r="A89" s="1">
        <v>115</v>
      </c>
      <c r="B89" s="1" t="s">
        <v>129</v>
      </c>
      <c r="C89" s="1" t="s">
        <v>60</v>
      </c>
      <c r="D89" s="1">
        <v>247</v>
      </c>
      <c r="E89" s="20">
        <v>65851631</v>
      </c>
      <c r="F89">
        <f t="shared" si="1"/>
        <v>56.2</v>
      </c>
      <c r="G89" t="str" cm="1">
        <f t="array" ref="G89">_xlfn.IFS(
  F89 &gt;= 90, "Key Opinion Leader",
  F89 &gt;= 70, "High Value",
  F89 &gt;= 30, "Standard",
  TRUE, "Low Engagement"
)</f>
        <v>Standard</v>
      </c>
    </row>
    <row r="90" spans="1:7">
      <c r="A90" s="1">
        <v>136</v>
      </c>
      <c r="B90" s="1" t="s">
        <v>130</v>
      </c>
      <c r="C90" s="1" t="s">
        <v>42</v>
      </c>
      <c r="D90" s="1">
        <v>261</v>
      </c>
      <c r="E90" s="20">
        <v>65609225</v>
      </c>
      <c r="F90">
        <f t="shared" si="1"/>
        <v>55.7</v>
      </c>
      <c r="G90" t="str" cm="1">
        <f t="array" ref="G90">_xlfn.IFS(
  F90 &gt;= 90, "Key Opinion Leader",
  F90 &gt;= 70, "High Value",
  F90 &gt;= 30, "Standard",
  TRUE, "Low Engagement"
)</f>
        <v>Standard</v>
      </c>
    </row>
    <row r="91" spans="1:7">
      <c r="A91" s="1">
        <v>163</v>
      </c>
      <c r="B91" s="1" t="s">
        <v>131</v>
      </c>
      <c r="C91" s="1" t="s">
        <v>47</v>
      </c>
      <c r="D91" s="1">
        <v>258</v>
      </c>
      <c r="E91" s="20">
        <v>65499864</v>
      </c>
      <c r="F91">
        <f t="shared" si="1"/>
        <v>55.2</v>
      </c>
      <c r="G91" t="str" cm="1">
        <f t="array" ref="G91">_xlfn.IFS(
  F91 &gt;= 90, "Key Opinion Leader",
  F91 &gt;= 70, "High Value",
  F91 &gt;= 30, "Standard",
  TRUE, "Low Engagement"
)</f>
        <v>Standard</v>
      </c>
    </row>
    <row r="92" spans="1:7">
      <c r="A92" s="1">
        <v>42</v>
      </c>
      <c r="B92" s="1" t="s">
        <v>132</v>
      </c>
      <c r="C92" s="1" t="s">
        <v>49</v>
      </c>
      <c r="D92" s="1">
        <v>247</v>
      </c>
      <c r="E92" s="20">
        <v>65198872</v>
      </c>
      <c r="F92">
        <f t="shared" si="1"/>
        <v>54.7</v>
      </c>
      <c r="G92" t="str" cm="1">
        <f t="array" ref="G92">_xlfn.IFS(
  F92 &gt;= 90, "Key Opinion Leader",
  F92 &gt;= 70, "High Value",
  F92 &gt;= 30, "Standard",
  TRUE, "Low Engagement"
)</f>
        <v>Standard</v>
      </c>
    </row>
    <row r="93" spans="1:7">
      <c r="A93" s="1">
        <v>13</v>
      </c>
      <c r="B93" s="1" t="s">
        <v>133</v>
      </c>
      <c r="C93" s="1" t="s">
        <v>47</v>
      </c>
      <c r="D93" s="1">
        <v>259</v>
      </c>
      <c r="E93" s="20">
        <v>65069308</v>
      </c>
      <c r="F93">
        <f t="shared" si="1"/>
        <v>54.2</v>
      </c>
      <c r="G93" t="str" cm="1">
        <f t="array" ref="G93">_xlfn.IFS(
  F93 &gt;= 90, "Key Opinion Leader",
  F93 &gt;= 70, "High Value",
  F93 &gt;= 30, "Standard",
  TRUE, "Low Engagement"
)</f>
        <v>Standard</v>
      </c>
    </row>
    <row r="94" spans="1:7">
      <c r="A94" s="1">
        <v>109</v>
      </c>
      <c r="B94" s="1" t="s">
        <v>134</v>
      </c>
      <c r="C94" s="1" t="s">
        <v>38</v>
      </c>
      <c r="D94" s="1">
        <v>259</v>
      </c>
      <c r="E94" s="20">
        <v>64954483</v>
      </c>
      <c r="F94">
        <f t="shared" si="1"/>
        <v>53.7</v>
      </c>
      <c r="G94" t="str" cm="1">
        <f t="array" ref="G94">_xlfn.IFS(
  F94 &gt;= 90, "Key Opinion Leader",
  F94 &gt;= 70, "High Value",
  F94 &gt;= 30, "Standard",
  TRUE, "Low Engagement"
)</f>
        <v>Standard</v>
      </c>
    </row>
    <row r="95" spans="1:7">
      <c r="A95" s="1">
        <v>173</v>
      </c>
      <c r="B95" s="1" t="s">
        <v>135</v>
      </c>
      <c r="C95" s="1" t="s">
        <v>51</v>
      </c>
      <c r="D95" s="1">
        <v>256</v>
      </c>
      <c r="E95" s="20">
        <v>64707513</v>
      </c>
      <c r="F95">
        <f t="shared" si="1"/>
        <v>53.2</v>
      </c>
      <c r="G95" t="str" cm="1">
        <f t="array" ref="G95">_xlfn.IFS(
  F95 &gt;= 90, "Key Opinion Leader",
  F95 &gt;= 70, "High Value",
  F95 &gt;= 30, "Standard",
  TRUE, "Low Engagement"
)</f>
        <v>Standard</v>
      </c>
    </row>
    <row r="96" spans="1:7">
      <c r="A96" s="1">
        <v>84</v>
      </c>
      <c r="B96" s="1" t="s">
        <v>136</v>
      </c>
      <c r="C96" s="1" t="s">
        <v>47</v>
      </c>
      <c r="D96" s="1">
        <v>258</v>
      </c>
      <c r="E96" s="20">
        <v>64670212</v>
      </c>
      <c r="F96">
        <f t="shared" si="1"/>
        <v>52.7</v>
      </c>
      <c r="G96" t="str" cm="1">
        <f t="array" ref="G96">_xlfn.IFS(
  F96 &gt;= 90, "Key Opinion Leader",
  F96 &gt;= 70, "High Value",
  F96 &gt;= 30, "Standard",
  TRUE, "Low Engagement"
)</f>
        <v>Standard</v>
      </c>
    </row>
    <row r="97" spans="1:7">
      <c r="A97" s="1">
        <v>124</v>
      </c>
      <c r="B97" s="1" t="s">
        <v>137</v>
      </c>
      <c r="C97" s="1" t="s">
        <v>42</v>
      </c>
      <c r="D97" s="1">
        <v>259</v>
      </c>
      <c r="E97" s="20">
        <v>64596201</v>
      </c>
      <c r="F97">
        <f t="shared" si="1"/>
        <v>52.2</v>
      </c>
      <c r="G97" t="str" cm="1">
        <f t="array" ref="G97">_xlfn.IFS(
  F97 &gt;= 90, "Key Opinion Leader",
  F97 &gt;= 70, "High Value",
  F97 &gt;= 30, "Standard",
  TRUE, "Low Engagement"
)</f>
        <v>Standard</v>
      </c>
    </row>
    <row r="98" spans="1:7">
      <c r="A98" s="1">
        <v>2</v>
      </c>
      <c r="B98" s="1" t="s">
        <v>138</v>
      </c>
      <c r="C98" s="1" t="s">
        <v>47</v>
      </c>
      <c r="D98" s="1">
        <v>282</v>
      </c>
      <c r="E98" s="20">
        <v>64502852</v>
      </c>
      <c r="F98">
        <f t="shared" si="1"/>
        <v>51.7</v>
      </c>
      <c r="G98" t="str" cm="1">
        <f t="array" ref="G98">_xlfn.IFS(
  F98 &gt;= 90, "Key Opinion Leader",
  F98 &gt;= 70, "High Value",
  F98 &gt;= 30, "Standard",
  TRUE, "Low Engagement"
)</f>
        <v>Standard</v>
      </c>
    </row>
    <row r="99" spans="1:7">
      <c r="A99" s="1">
        <v>180</v>
      </c>
      <c r="B99" s="1" t="s">
        <v>139</v>
      </c>
      <c r="C99" s="1" t="s">
        <v>36</v>
      </c>
      <c r="D99" s="1">
        <v>257</v>
      </c>
      <c r="E99" s="20">
        <v>64471589</v>
      </c>
      <c r="F99">
        <f t="shared" si="1"/>
        <v>51.2</v>
      </c>
      <c r="G99" t="str" cm="1">
        <f t="array" ref="G99">_xlfn.IFS(
  F99 &gt;= 90, "Key Opinion Leader",
  F99 &gt;= 70, "High Value",
  F99 &gt;= 30, "Standard",
  TRUE, "Low Engagement"
)</f>
        <v>Standard</v>
      </c>
    </row>
    <row r="100" spans="1:7">
      <c r="A100" s="1">
        <v>152</v>
      </c>
      <c r="B100" s="1" t="s">
        <v>140</v>
      </c>
      <c r="C100" s="1" t="s">
        <v>38</v>
      </c>
      <c r="D100" s="1">
        <v>261</v>
      </c>
      <c r="E100" s="20">
        <v>64401639</v>
      </c>
      <c r="F100">
        <f t="shared" si="1"/>
        <v>50.7</v>
      </c>
      <c r="G100" t="str" cm="1">
        <f t="array" ref="G100">_xlfn.IFS(
  F100 &gt;= 90, "Key Opinion Leader",
  F100 &gt;= 70, "High Value",
  F100 &gt;= 30, "Standard",
  TRUE, "Low Engagement"
)</f>
        <v>Standard</v>
      </c>
    </row>
    <row r="101" spans="1:7">
      <c r="A101" s="1">
        <v>95</v>
      </c>
      <c r="B101" s="1" t="s">
        <v>141</v>
      </c>
      <c r="C101" s="1" t="s">
        <v>47</v>
      </c>
      <c r="D101" s="1">
        <v>230</v>
      </c>
      <c r="E101" s="20">
        <v>64374284</v>
      </c>
      <c r="F101">
        <f t="shared" si="1"/>
        <v>50.2</v>
      </c>
      <c r="G101" t="str" cm="1">
        <f t="array" ref="G101">_xlfn.IFS(
  F101 &gt;= 90, "Key Opinion Leader",
  F101 &gt;= 70, "High Value",
  F101 &gt;= 30, "Standard",
  TRUE, "Low Engagement"
)</f>
        <v>Standard</v>
      </c>
    </row>
    <row r="102" spans="1:7">
      <c r="A102" s="1">
        <v>189</v>
      </c>
      <c r="B102" s="1" t="s">
        <v>142</v>
      </c>
      <c r="C102" s="1" t="s">
        <v>36</v>
      </c>
      <c r="D102" s="1">
        <v>254</v>
      </c>
      <c r="E102" s="20">
        <v>64357714</v>
      </c>
      <c r="F102">
        <f t="shared" si="1"/>
        <v>49.7</v>
      </c>
      <c r="G102" t="str" cm="1">
        <f t="array" ref="G102">_xlfn.IFS(
  F102 &gt;= 90, "Key Opinion Leader",
  F102 &gt;= 70, "High Value",
  F102 &gt;= 30, "Standard",
  TRUE, "Low Engagement"
)</f>
        <v>Standard</v>
      </c>
    </row>
    <row r="103" spans="1:7">
      <c r="A103" s="1">
        <v>154</v>
      </c>
      <c r="B103" s="1" t="s">
        <v>143</v>
      </c>
      <c r="C103" s="1" t="s">
        <v>51</v>
      </c>
      <c r="D103" s="1">
        <v>240</v>
      </c>
      <c r="E103" s="20">
        <v>64348051</v>
      </c>
      <c r="F103">
        <f t="shared" si="1"/>
        <v>49.2</v>
      </c>
      <c r="G103" t="str" cm="1">
        <f t="array" ref="G103">_xlfn.IFS(
  F103 &gt;= 90, "Key Opinion Leader",
  F103 &gt;= 70, "High Value",
  F103 &gt;= 30, "Standard",
  TRUE, "Low Engagement"
)</f>
        <v>Standard</v>
      </c>
    </row>
    <row r="104" spans="1:7">
      <c r="A104" s="1">
        <v>50</v>
      </c>
      <c r="B104" s="1" t="s">
        <v>144</v>
      </c>
      <c r="C104" s="1" t="s">
        <v>36</v>
      </c>
      <c r="D104" s="1">
        <v>261</v>
      </c>
      <c r="E104" s="20">
        <v>64315089</v>
      </c>
      <c r="F104">
        <f t="shared" si="1"/>
        <v>48.7</v>
      </c>
      <c r="G104" t="str" cm="1">
        <f t="array" ref="G104">_xlfn.IFS(
  F104 &gt;= 90, "Key Opinion Leader",
  F104 &gt;= 70, "High Value",
  F104 &gt;= 30, "Standard",
  TRUE, "Low Engagement"
)</f>
        <v>Standard</v>
      </c>
    </row>
    <row r="105" spans="1:7">
      <c r="A105" s="1">
        <v>161</v>
      </c>
      <c r="B105" s="1" t="s">
        <v>145</v>
      </c>
      <c r="C105" s="1" t="s">
        <v>47</v>
      </c>
      <c r="D105" s="1">
        <v>250</v>
      </c>
      <c r="E105" s="20">
        <v>64306708</v>
      </c>
      <c r="F105">
        <f t="shared" si="1"/>
        <v>48.2</v>
      </c>
      <c r="G105" t="str" cm="1">
        <f t="array" ref="G105">_xlfn.IFS(
  F105 &gt;= 90, "Key Opinion Leader",
  F105 &gt;= 70, "High Value",
  F105 &gt;= 30, "Standard",
  TRUE, "Low Engagement"
)</f>
        <v>Standard</v>
      </c>
    </row>
    <row r="106" spans="1:7">
      <c r="A106" s="1">
        <v>199</v>
      </c>
      <c r="B106" s="1" t="s">
        <v>146</v>
      </c>
      <c r="C106" s="1" t="s">
        <v>42</v>
      </c>
      <c r="D106" s="1">
        <v>239</v>
      </c>
      <c r="E106" s="20">
        <v>64269086</v>
      </c>
      <c r="F106">
        <f t="shared" si="1"/>
        <v>47.7</v>
      </c>
      <c r="G106" t="str" cm="1">
        <f t="array" ref="G106">_xlfn.IFS(
  F106 &gt;= 90, "Key Opinion Leader",
  F106 &gt;= 70, "High Value",
  F106 &gt;= 30, "Standard",
  TRUE, "Low Engagement"
)</f>
        <v>Standard</v>
      </c>
    </row>
    <row r="107" spans="1:7">
      <c r="A107" s="1">
        <v>16</v>
      </c>
      <c r="B107" s="1" t="s">
        <v>147</v>
      </c>
      <c r="C107" s="1" t="s">
        <v>38</v>
      </c>
      <c r="D107" s="1">
        <v>246</v>
      </c>
      <c r="E107" s="20">
        <v>64162248</v>
      </c>
      <c r="F107">
        <f t="shared" si="1"/>
        <v>47.2</v>
      </c>
      <c r="G107" t="str" cm="1">
        <f t="array" ref="G107">_xlfn.IFS(
  F107 &gt;= 90, "Key Opinion Leader",
  F107 &gt;= 70, "High Value",
  F107 &gt;= 30, "Standard",
  TRUE, "Low Engagement"
)</f>
        <v>Standard</v>
      </c>
    </row>
    <row r="108" spans="1:7">
      <c r="A108" s="1">
        <v>7</v>
      </c>
      <c r="B108" s="1" t="s">
        <v>148</v>
      </c>
      <c r="C108" s="1" t="s">
        <v>38</v>
      </c>
      <c r="D108" s="1">
        <v>262</v>
      </c>
      <c r="E108" s="20">
        <v>64092936</v>
      </c>
      <c r="F108">
        <f t="shared" si="1"/>
        <v>46.7</v>
      </c>
      <c r="G108" t="str" cm="1">
        <f t="array" ref="G108">_xlfn.IFS(
  F108 &gt;= 90, "Key Opinion Leader",
  F108 &gt;= 70, "High Value",
  F108 &gt;= 30, "Standard",
  TRUE, "Low Engagement"
)</f>
        <v>Standard</v>
      </c>
    </row>
    <row r="109" spans="1:7">
      <c r="A109" s="1">
        <v>93</v>
      </c>
      <c r="B109" s="1" t="s">
        <v>149</v>
      </c>
      <c r="C109" s="1" t="s">
        <v>47</v>
      </c>
      <c r="D109" s="1">
        <v>251</v>
      </c>
      <c r="E109" s="20">
        <v>64023755</v>
      </c>
      <c r="F109">
        <f t="shared" si="1"/>
        <v>46.2</v>
      </c>
      <c r="G109" t="str" cm="1">
        <f t="array" ref="G109">_xlfn.IFS(
  F109 &gt;= 90, "Key Opinion Leader",
  F109 &gt;= 70, "High Value",
  F109 &gt;= 30, "Standard",
  TRUE, "Low Engagement"
)</f>
        <v>Standard</v>
      </c>
    </row>
    <row r="110" spans="1:7">
      <c r="A110" s="1">
        <v>138</v>
      </c>
      <c r="B110" s="1" t="s">
        <v>150</v>
      </c>
      <c r="C110" s="1" t="s">
        <v>47</v>
      </c>
      <c r="D110" s="1">
        <v>246</v>
      </c>
      <c r="E110" s="20">
        <v>63872835</v>
      </c>
      <c r="F110">
        <f t="shared" si="1"/>
        <v>45.7</v>
      </c>
      <c r="G110" t="str" cm="1">
        <f t="array" ref="G110">_xlfn.IFS(
  F110 &gt;= 90, "Key Opinion Leader",
  F110 &gt;= 70, "High Value",
  F110 &gt;= 30, "Standard",
  TRUE, "Low Engagement"
)</f>
        <v>Standard</v>
      </c>
    </row>
    <row r="111" spans="1:7">
      <c r="A111" s="1">
        <v>117</v>
      </c>
      <c r="B111" s="1" t="s">
        <v>151</v>
      </c>
      <c r="C111" s="1" t="s">
        <v>51</v>
      </c>
      <c r="D111" s="1">
        <v>243</v>
      </c>
      <c r="E111" s="20">
        <v>63863616</v>
      </c>
      <c r="F111">
        <f t="shared" si="1"/>
        <v>45.2</v>
      </c>
      <c r="G111" t="str" cm="1">
        <f t="array" ref="G111">_xlfn.IFS(
  F111 &gt;= 90, "Key Opinion Leader",
  F111 &gt;= 70, "High Value",
  F111 &gt;= 30, "Standard",
  TRUE, "Low Engagement"
)</f>
        <v>Standard</v>
      </c>
    </row>
    <row r="112" spans="1:7">
      <c r="A112" s="1">
        <v>120</v>
      </c>
      <c r="B112" s="1" t="s">
        <v>152</v>
      </c>
      <c r="C112" s="1" t="s">
        <v>47</v>
      </c>
      <c r="D112" s="1">
        <v>244</v>
      </c>
      <c r="E112" s="20">
        <v>63756813</v>
      </c>
      <c r="F112">
        <f t="shared" si="1"/>
        <v>44.7</v>
      </c>
      <c r="G112" t="str" cm="1">
        <f t="array" ref="G112">_xlfn.IFS(
  F112 &gt;= 90, "Key Opinion Leader",
  F112 &gt;= 70, "High Value",
  F112 &gt;= 30, "Standard",
  TRUE, "Low Engagement"
)</f>
        <v>Standard</v>
      </c>
    </row>
    <row r="113" spans="1:7">
      <c r="A113" s="1">
        <v>179</v>
      </c>
      <c r="B113" s="1" t="s">
        <v>153</v>
      </c>
      <c r="C113" s="1" t="s">
        <v>42</v>
      </c>
      <c r="D113" s="1">
        <v>242</v>
      </c>
      <c r="E113" s="20">
        <v>63340865</v>
      </c>
      <c r="F113">
        <f t="shared" si="1"/>
        <v>44.2</v>
      </c>
      <c r="G113" t="str" cm="1">
        <f t="array" ref="G113">_xlfn.IFS(
  F113 &gt;= 90, "Key Opinion Leader",
  F113 &gt;= 70, "High Value",
  F113 &gt;= 30, "Standard",
  TRUE, "Low Engagement"
)</f>
        <v>Standard</v>
      </c>
    </row>
    <row r="114" spans="1:7">
      <c r="A114" s="1">
        <v>148</v>
      </c>
      <c r="B114" s="1" t="s">
        <v>154</v>
      </c>
      <c r="C114" s="1" t="s">
        <v>38</v>
      </c>
      <c r="D114" s="1">
        <v>239</v>
      </c>
      <c r="E114" s="20">
        <v>63314183</v>
      </c>
      <c r="F114">
        <f t="shared" si="1"/>
        <v>43.7</v>
      </c>
      <c r="G114" t="str" cm="1">
        <f t="array" ref="G114">_xlfn.IFS(
  F114 &gt;= 90, "Key Opinion Leader",
  F114 &gt;= 70, "High Value",
  F114 &gt;= 30, "Standard",
  TRUE, "Low Engagement"
)</f>
        <v>Standard</v>
      </c>
    </row>
    <row r="115" spans="1:7">
      <c r="A115" s="1">
        <v>87</v>
      </c>
      <c r="B115" s="1" t="s">
        <v>155</v>
      </c>
      <c r="C115" s="1" t="s">
        <v>47</v>
      </c>
      <c r="D115" s="1">
        <v>263</v>
      </c>
      <c r="E115" s="20">
        <v>63267503</v>
      </c>
      <c r="F115">
        <f t="shared" si="1"/>
        <v>43.2</v>
      </c>
      <c r="G115" t="str" cm="1">
        <f t="array" ref="G115">_xlfn.IFS(
  F115 &gt;= 90, "Key Opinion Leader",
  F115 &gt;= 70, "High Value",
  F115 &gt;= 30, "Standard",
  TRUE, "Low Engagement"
)</f>
        <v>Standard</v>
      </c>
    </row>
    <row r="116" spans="1:7">
      <c r="A116" s="1">
        <v>59</v>
      </c>
      <c r="B116" s="1" t="s">
        <v>156</v>
      </c>
      <c r="C116" s="1" t="s">
        <v>47</v>
      </c>
      <c r="D116" s="1">
        <v>261</v>
      </c>
      <c r="E116" s="20">
        <v>63091545</v>
      </c>
      <c r="F116">
        <f t="shared" si="1"/>
        <v>42.7</v>
      </c>
      <c r="G116" t="str" cm="1">
        <f t="array" ref="G116">_xlfn.IFS(
  F116 &gt;= 90, "Key Opinion Leader",
  F116 &gt;= 70, "High Value",
  F116 &gt;= 30, "Standard",
  TRUE, "Low Engagement"
)</f>
        <v>Standard</v>
      </c>
    </row>
    <row r="117" spans="1:7">
      <c r="A117" s="1">
        <v>56</v>
      </c>
      <c r="B117" s="1" t="s">
        <v>157</v>
      </c>
      <c r="C117" s="1" t="s">
        <v>42</v>
      </c>
      <c r="D117" s="1">
        <v>241</v>
      </c>
      <c r="E117" s="20">
        <v>63019023</v>
      </c>
      <c r="F117">
        <f t="shared" si="1"/>
        <v>42.2</v>
      </c>
      <c r="G117" t="str" cm="1">
        <f t="array" ref="G117">_xlfn.IFS(
  F117 &gt;= 90, "Key Opinion Leader",
  F117 &gt;= 70, "High Value",
  F117 &gt;= 30, "Standard",
  TRUE, "Low Engagement"
)</f>
        <v>Standard</v>
      </c>
    </row>
    <row r="118" spans="1:7">
      <c r="A118" s="1">
        <v>134</v>
      </c>
      <c r="B118" s="1" t="s">
        <v>158</v>
      </c>
      <c r="C118" s="1" t="s">
        <v>42</v>
      </c>
      <c r="D118" s="1">
        <v>242</v>
      </c>
      <c r="E118" s="20">
        <v>62992619</v>
      </c>
      <c r="F118">
        <f t="shared" si="1"/>
        <v>41.7</v>
      </c>
      <c r="G118" t="str" cm="1">
        <f t="array" ref="G118">_xlfn.IFS(
  F118 &gt;= 90, "Key Opinion Leader",
  F118 &gt;= 70, "High Value",
  F118 &gt;= 30, "Standard",
  TRUE, "Low Engagement"
)</f>
        <v>Standard</v>
      </c>
    </row>
    <row r="119" spans="1:7">
      <c r="A119" s="1">
        <v>92</v>
      </c>
      <c r="B119" s="1" t="s">
        <v>159</v>
      </c>
      <c r="C119" s="1" t="s">
        <v>36</v>
      </c>
      <c r="D119" s="1">
        <v>266</v>
      </c>
      <c r="E119" s="20">
        <v>62946661</v>
      </c>
      <c r="F119">
        <f t="shared" si="1"/>
        <v>41.2</v>
      </c>
      <c r="G119" t="str" cm="1">
        <f t="array" ref="G119">_xlfn.IFS(
  F119 &gt;= 90, "Key Opinion Leader",
  F119 &gt;= 70, "High Value",
  F119 &gt;= 30, "Standard",
  TRUE, "Low Engagement"
)</f>
        <v>Standard</v>
      </c>
    </row>
    <row r="120" spans="1:7">
      <c r="A120" s="1">
        <v>24</v>
      </c>
      <c r="B120" s="1" t="s">
        <v>160</v>
      </c>
      <c r="C120" s="1" t="s">
        <v>42</v>
      </c>
      <c r="D120" s="1">
        <v>236</v>
      </c>
      <c r="E120" s="20">
        <v>62805621</v>
      </c>
      <c r="F120">
        <f t="shared" si="1"/>
        <v>40.700000000000003</v>
      </c>
      <c r="G120" t="str" cm="1">
        <f t="array" ref="G120">_xlfn.IFS(
  F120 &gt;= 90, "Key Opinion Leader",
  F120 &gt;= 70, "High Value",
  F120 &gt;= 30, "Standard",
  TRUE, "Low Engagement"
)</f>
        <v>Standard</v>
      </c>
    </row>
    <row r="121" spans="1:7">
      <c r="A121" s="1">
        <v>168</v>
      </c>
      <c r="B121" s="1" t="s">
        <v>123</v>
      </c>
      <c r="C121" s="1" t="s">
        <v>47</v>
      </c>
      <c r="D121" s="1">
        <v>252</v>
      </c>
      <c r="E121" s="20">
        <v>62695429</v>
      </c>
      <c r="F121">
        <f t="shared" si="1"/>
        <v>40.200000000000003</v>
      </c>
      <c r="G121" t="str" cm="1">
        <f t="array" ref="G121">_xlfn.IFS(
  F121 &gt;= 90, "Key Opinion Leader",
  F121 &gt;= 70, "High Value",
  F121 &gt;= 30, "Standard",
  TRUE, "Low Engagement"
)</f>
        <v>Standard</v>
      </c>
    </row>
    <row r="122" spans="1:7">
      <c r="A122" s="1">
        <v>25</v>
      </c>
      <c r="B122" s="1" t="s">
        <v>161</v>
      </c>
      <c r="C122" s="1" t="s">
        <v>51</v>
      </c>
      <c r="D122" s="1">
        <v>247</v>
      </c>
      <c r="E122" s="20">
        <v>62691174</v>
      </c>
      <c r="F122">
        <f t="shared" si="1"/>
        <v>39.6</v>
      </c>
      <c r="G122" t="str" cm="1">
        <f t="array" ref="G122">_xlfn.IFS(
  F122 &gt;= 90, "Key Opinion Leader",
  F122 &gt;= 70, "High Value",
  F122 &gt;= 30, "Standard",
  TRUE, "Low Engagement"
)</f>
        <v>Standard</v>
      </c>
    </row>
    <row r="123" spans="1:7">
      <c r="A123" s="1">
        <v>143</v>
      </c>
      <c r="B123" s="1" t="s">
        <v>162</v>
      </c>
      <c r="C123" s="1" t="s">
        <v>42</v>
      </c>
      <c r="D123" s="1">
        <v>258</v>
      </c>
      <c r="E123" s="20">
        <v>62637232</v>
      </c>
      <c r="F123">
        <f t="shared" si="1"/>
        <v>39.1</v>
      </c>
      <c r="G123" t="str" cm="1">
        <f t="array" ref="G123">_xlfn.IFS(
  F123 &gt;= 90, "Key Opinion Leader",
  F123 &gt;= 70, "High Value",
  F123 &gt;= 30, "Standard",
  TRUE, "Low Engagement"
)</f>
        <v>Standard</v>
      </c>
    </row>
    <row r="124" spans="1:7">
      <c r="A124" s="1">
        <v>127</v>
      </c>
      <c r="B124" s="1" t="s">
        <v>163</v>
      </c>
      <c r="C124" s="1" t="s">
        <v>36</v>
      </c>
      <c r="D124" s="1">
        <v>241</v>
      </c>
      <c r="E124" s="20">
        <v>62542284</v>
      </c>
      <c r="F124">
        <f t="shared" si="1"/>
        <v>38.6</v>
      </c>
      <c r="G124" t="str" cm="1">
        <f t="array" ref="G124">_xlfn.IFS(
  F124 &gt;= 90, "Key Opinion Leader",
  F124 &gt;= 70, "High Value",
  F124 &gt;= 30, "Standard",
  TRUE, "Low Engagement"
)</f>
        <v>Standard</v>
      </c>
    </row>
    <row r="125" spans="1:7">
      <c r="A125" s="1">
        <v>177</v>
      </c>
      <c r="B125" s="1" t="s">
        <v>164</v>
      </c>
      <c r="C125" s="1" t="s">
        <v>42</v>
      </c>
      <c r="D125" s="1">
        <v>241</v>
      </c>
      <c r="E125" s="20">
        <v>62436515</v>
      </c>
      <c r="F125">
        <f t="shared" si="1"/>
        <v>38.1</v>
      </c>
      <c r="G125" t="str" cm="1">
        <f t="array" ref="G125">_xlfn.IFS(
  F125 &gt;= 90, "Key Opinion Leader",
  F125 &gt;= 70, "High Value",
  F125 &gt;= 30, "Standard",
  TRUE, "Low Engagement"
)</f>
        <v>Standard</v>
      </c>
    </row>
    <row r="126" spans="1:7">
      <c r="A126" s="1">
        <v>167</v>
      </c>
      <c r="B126" s="1" t="s">
        <v>165</v>
      </c>
      <c r="C126" s="1" t="s">
        <v>42</v>
      </c>
      <c r="D126" s="1">
        <v>235</v>
      </c>
      <c r="E126" s="20">
        <v>62366038</v>
      </c>
      <c r="F126">
        <f t="shared" si="1"/>
        <v>37.6</v>
      </c>
      <c r="G126" t="str" cm="1">
        <f t="array" ref="G126">_xlfn.IFS(
  F126 &gt;= 90, "Key Opinion Leader",
  F126 &gt;= 70, "High Value",
  F126 &gt;= 30, "Standard",
  TRUE, "Low Engagement"
)</f>
        <v>Standard</v>
      </c>
    </row>
    <row r="127" spans="1:7">
      <c r="A127" s="1">
        <v>11</v>
      </c>
      <c r="B127" s="1" t="s">
        <v>166</v>
      </c>
      <c r="C127" s="1" t="s">
        <v>47</v>
      </c>
      <c r="D127" s="1">
        <v>252</v>
      </c>
      <c r="E127" s="20">
        <v>62351882</v>
      </c>
      <c r="F127">
        <f t="shared" si="1"/>
        <v>37.1</v>
      </c>
      <c r="G127" t="str" cm="1">
        <f t="array" ref="G127">_xlfn.IFS(
  F127 &gt;= 90, "Key Opinion Leader",
  F127 &gt;= 70, "High Value",
  F127 &gt;= 30, "Standard",
  TRUE, "Low Engagement"
)</f>
        <v>Standard</v>
      </c>
    </row>
    <row r="128" spans="1:7">
      <c r="A128" s="1">
        <v>65</v>
      </c>
      <c r="B128" s="1" t="s">
        <v>167</v>
      </c>
      <c r="C128" s="1" t="s">
        <v>51</v>
      </c>
      <c r="D128" s="1">
        <v>245</v>
      </c>
      <c r="E128" s="20">
        <v>62300874</v>
      </c>
      <c r="F128">
        <f t="shared" si="1"/>
        <v>36.6</v>
      </c>
      <c r="G128" t="str" cm="1">
        <f t="array" ref="G128">_xlfn.IFS(
  F128 &gt;= 90, "Key Opinion Leader",
  F128 &gt;= 70, "High Value",
  F128 &gt;= 30, "Standard",
  TRUE, "Low Engagement"
)</f>
        <v>Standard</v>
      </c>
    </row>
    <row r="129" spans="1:7">
      <c r="A129" s="1">
        <v>194</v>
      </c>
      <c r="B129" s="1" t="s">
        <v>168</v>
      </c>
      <c r="C129" s="1" t="s">
        <v>47</v>
      </c>
      <c r="D129" s="1">
        <v>248</v>
      </c>
      <c r="E129" s="20">
        <v>62271688</v>
      </c>
      <c r="F129">
        <f t="shared" si="1"/>
        <v>36.1</v>
      </c>
      <c r="G129" t="str" cm="1">
        <f t="array" ref="G129">_xlfn.IFS(
  F129 &gt;= 90, "Key Opinion Leader",
  F129 &gt;= 70, "High Value",
  F129 &gt;= 30, "Standard",
  TRUE, "Low Engagement"
)</f>
        <v>Standard</v>
      </c>
    </row>
    <row r="130" spans="1:7">
      <c r="A130" s="1">
        <v>174</v>
      </c>
      <c r="B130" s="1" t="s">
        <v>169</v>
      </c>
      <c r="C130" s="1" t="s">
        <v>49</v>
      </c>
      <c r="D130" s="1">
        <v>240</v>
      </c>
      <c r="E130" s="20">
        <v>62108386</v>
      </c>
      <c r="F130">
        <f t="shared" si="1"/>
        <v>35.6</v>
      </c>
      <c r="G130" t="str" cm="1">
        <f t="array" ref="G130">_xlfn.IFS(
  F130 &gt;= 90, "Key Opinion Leader",
  F130 &gt;= 70, "High Value",
  F130 &gt;= 30, "Standard",
  TRUE, "Low Engagement"
)</f>
        <v>Standard</v>
      </c>
    </row>
    <row r="131" spans="1:7">
      <c r="A131" s="1">
        <v>31</v>
      </c>
      <c r="B131" s="1" t="s">
        <v>170</v>
      </c>
      <c r="C131" s="1" t="s">
        <v>36</v>
      </c>
      <c r="D131" s="1">
        <v>249</v>
      </c>
      <c r="E131" s="20">
        <v>62065792</v>
      </c>
      <c r="F131">
        <f t="shared" ref="F131:F194" si="2">ROUND(_xlfn.PERCENTRANK.INC($E$2:$E$201, E131) * 100, 1)</f>
        <v>35.1</v>
      </c>
      <c r="G131" t="str" cm="1">
        <f t="array" ref="G131">_xlfn.IFS(
  F131 &gt;= 90, "Key Opinion Leader",
  F131 &gt;= 70, "High Value",
  F131 &gt;= 30, "Standard",
  TRUE, "Low Engagement"
)</f>
        <v>Standard</v>
      </c>
    </row>
    <row r="132" spans="1:7">
      <c r="A132" s="1">
        <v>164</v>
      </c>
      <c r="B132" s="1" t="s">
        <v>171</v>
      </c>
      <c r="C132" s="1" t="s">
        <v>42</v>
      </c>
      <c r="D132" s="1">
        <v>241</v>
      </c>
      <c r="E132" s="20">
        <v>62020596</v>
      </c>
      <c r="F132">
        <f t="shared" si="2"/>
        <v>34.6</v>
      </c>
      <c r="G132" t="str" cm="1">
        <f t="array" ref="G132">_xlfn.IFS(
  F132 &gt;= 90, "Key Opinion Leader",
  F132 &gt;= 70, "High Value",
  F132 &gt;= 30, "Standard",
  TRUE, "Low Engagement"
)</f>
        <v>Standard</v>
      </c>
    </row>
    <row r="133" spans="1:7">
      <c r="A133" s="1">
        <v>151</v>
      </c>
      <c r="B133" s="1" t="s">
        <v>172</v>
      </c>
      <c r="C133" s="1" t="s">
        <v>49</v>
      </c>
      <c r="D133" s="1">
        <v>251</v>
      </c>
      <c r="E133" s="20">
        <v>62010407</v>
      </c>
      <c r="F133">
        <f t="shared" si="2"/>
        <v>34.1</v>
      </c>
      <c r="G133" t="str" cm="1">
        <f t="array" ref="G133">_xlfn.IFS(
  F133 &gt;= 90, "Key Opinion Leader",
  F133 &gt;= 70, "High Value",
  F133 &gt;= 30, "Standard",
  TRUE, "Low Engagement"
)</f>
        <v>Standard</v>
      </c>
    </row>
    <row r="134" spans="1:7">
      <c r="A134" s="1">
        <v>191</v>
      </c>
      <c r="B134" s="1" t="s">
        <v>173</v>
      </c>
      <c r="C134" s="1" t="s">
        <v>42</v>
      </c>
      <c r="D134" s="1">
        <v>250</v>
      </c>
      <c r="E134" s="20">
        <v>61956869</v>
      </c>
      <c r="F134">
        <f t="shared" si="2"/>
        <v>33.6</v>
      </c>
      <c r="G134" t="str" cm="1">
        <f t="array" ref="G134">_xlfn.IFS(
  F134 &gt;= 90, "Key Opinion Leader",
  F134 &gt;= 70, "High Value",
  F134 &gt;= 30, "Standard",
  TRUE, "Low Engagement"
)</f>
        <v>Standard</v>
      </c>
    </row>
    <row r="135" spans="1:7">
      <c r="A135" s="1">
        <v>14</v>
      </c>
      <c r="B135" s="1" t="s">
        <v>174</v>
      </c>
      <c r="C135" s="1" t="s">
        <v>42</v>
      </c>
      <c r="D135" s="1">
        <v>261</v>
      </c>
      <c r="E135" s="20">
        <v>61903497</v>
      </c>
      <c r="F135">
        <f t="shared" si="2"/>
        <v>33.1</v>
      </c>
      <c r="G135" t="str" cm="1">
        <f t="array" ref="G135">_xlfn.IFS(
  F135 &gt;= 90, "Key Opinion Leader",
  F135 &gt;= 70, "High Value",
  F135 &gt;= 30, "Standard",
  TRUE, "Low Engagement"
)</f>
        <v>Standard</v>
      </c>
    </row>
    <row r="136" spans="1:7">
      <c r="A136" s="1">
        <v>54</v>
      </c>
      <c r="B136" s="1" t="s">
        <v>175</v>
      </c>
      <c r="C136" s="1" t="s">
        <v>47</v>
      </c>
      <c r="D136" s="1">
        <v>241</v>
      </c>
      <c r="E136" s="20">
        <v>61864708</v>
      </c>
      <c r="F136">
        <f t="shared" si="2"/>
        <v>32.6</v>
      </c>
      <c r="G136" t="str" cm="1">
        <f t="array" ref="G136">_xlfn.IFS(
  F136 &gt;= 90, "Key Opinion Leader",
  F136 &gt;= 70, "High Value",
  F136 &gt;= 30, "Standard",
  TRUE, "Low Engagement"
)</f>
        <v>Standard</v>
      </c>
    </row>
    <row r="137" spans="1:7">
      <c r="A137" s="1">
        <v>185</v>
      </c>
      <c r="B137" s="1" t="s">
        <v>176</v>
      </c>
      <c r="C137" s="1" t="s">
        <v>38</v>
      </c>
      <c r="D137" s="1">
        <v>230</v>
      </c>
      <c r="E137" s="20">
        <v>61804536</v>
      </c>
      <c r="F137">
        <f t="shared" si="2"/>
        <v>32.1</v>
      </c>
      <c r="G137" t="str" cm="1">
        <f t="array" ref="G137">_xlfn.IFS(
  F137 &gt;= 90, "Key Opinion Leader",
  F137 &gt;= 70, "High Value",
  F137 &gt;= 30, "Standard",
  TRUE, "Low Engagement"
)</f>
        <v>Standard</v>
      </c>
    </row>
    <row r="138" spans="1:7">
      <c r="A138" s="1">
        <v>49</v>
      </c>
      <c r="B138" s="1" t="s">
        <v>177</v>
      </c>
      <c r="C138" s="1" t="s">
        <v>47</v>
      </c>
      <c r="D138" s="1">
        <v>247</v>
      </c>
      <c r="E138" s="20">
        <v>61740161</v>
      </c>
      <c r="F138">
        <f t="shared" si="2"/>
        <v>31.6</v>
      </c>
      <c r="G138" t="str" cm="1">
        <f t="array" ref="G138">_xlfn.IFS(
  F138 &gt;= 90, "Key Opinion Leader",
  F138 &gt;= 70, "High Value",
  F138 &gt;= 30, "Standard",
  TRUE, "Low Engagement"
)</f>
        <v>Standard</v>
      </c>
    </row>
    <row r="139" spans="1:7">
      <c r="A139" s="1">
        <v>137</v>
      </c>
      <c r="B139" s="1" t="s">
        <v>178</v>
      </c>
      <c r="C139" s="1" t="s">
        <v>47</v>
      </c>
      <c r="D139" s="1">
        <v>250</v>
      </c>
      <c r="E139" s="20">
        <v>61628650</v>
      </c>
      <c r="F139">
        <f t="shared" si="2"/>
        <v>31.1</v>
      </c>
      <c r="G139" t="str" cm="1">
        <f t="array" ref="G139">_xlfn.IFS(
  F139 &gt;= 90, "Key Opinion Leader",
  F139 &gt;= 70, "High Value",
  F139 &gt;= 30, "Standard",
  TRUE, "Low Engagement"
)</f>
        <v>Standard</v>
      </c>
    </row>
    <row r="140" spans="1:7">
      <c r="A140" s="1">
        <v>63</v>
      </c>
      <c r="B140" s="1" t="s">
        <v>179</v>
      </c>
      <c r="C140" s="1" t="s">
        <v>51</v>
      </c>
      <c r="D140" s="1">
        <v>242</v>
      </c>
      <c r="E140" s="20">
        <v>61627112</v>
      </c>
      <c r="F140">
        <f t="shared" si="2"/>
        <v>30.6</v>
      </c>
      <c r="G140" t="str" cm="1">
        <f t="array" ref="G140">_xlfn.IFS(
  F140 &gt;= 90, "Key Opinion Leader",
  F140 &gt;= 70, "High Value",
  F140 &gt;= 30, "Standard",
  TRUE, "Low Engagement"
)</f>
        <v>Standard</v>
      </c>
    </row>
    <row r="141" spans="1:7">
      <c r="A141" s="1">
        <v>57</v>
      </c>
      <c r="B141" s="1" t="s">
        <v>180</v>
      </c>
      <c r="C141" s="1" t="s">
        <v>51</v>
      </c>
      <c r="D141" s="1">
        <v>230</v>
      </c>
      <c r="E141" s="20">
        <v>61572576</v>
      </c>
      <c r="F141">
        <f t="shared" si="2"/>
        <v>30.1</v>
      </c>
      <c r="G141" t="str" cm="1">
        <f t="array" ref="G141">_xlfn.IFS(
  F141 &gt;= 90, "Key Opinion Leader",
  F141 &gt;= 70, "High Value",
  F141 &gt;= 30, "Standard",
  TRUE, "Low Engagement"
)</f>
        <v>Standard</v>
      </c>
    </row>
    <row r="142" spans="1:7">
      <c r="A142" s="1">
        <v>186</v>
      </c>
      <c r="B142" s="1" t="s">
        <v>181</v>
      </c>
      <c r="C142" s="1" t="s">
        <v>38</v>
      </c>
      <c r="D142" s="1">
        <v>227</v>
      </c>
      <c r="E142" s="20">
        <v>61548657</v>
      </c>
      <c r="F142">
        <f t="shared" si="2"/>
        <v>29.6</v>
      </c>
      <c r="G142" t="str" cm="1">
        <f t="array" ref="G142">_xlfn.IFS(
  F142 &gt;= 90, "Key Opinion Leader",
  F142 &gt;= 70, "High Value",
  F142 &gt;= 30, "Standard",
  TRUE, "Low Engagement"
)</f>
        <v>Low Engagement</v>
      </c>
    </row>
    <row r="143" spans="1:7">
      <c r="A143" s="1">
        <v>80</v>
      </c>
      <c r="B143" s="1" t="s">
        <v>182</v>
      </c>
      <c r="C143" s="1" t="s">
        <v>38</v>
      </c>
      <c r="D143" s="1">
        <v>241</v>
      </c>
      <c r="E143" s="20">
        <v>61514535</v>
      </c>
      <c r="F143">
        <f t="shared" si="2"/>
        <v>29.1</v>
      </c>
      <c r="G143" t="str" cm="1">
        <f t="array" ref="G143">_xlfn.IFS(
  F143 &gt;= 90, "Key Opinion Leader",
  F143 &gt;= 70, "High Value",
  F143 &gt;= 30, "Standard",
  TRUE, "Low Engagement"
)</f>
        <v>Low Engagement</v>
      </c>
    </row>
    <row r="144" spans="1:7">
      <c r="A144" s="1">
        <v>66</v>
      </c>
      <c r="B144" s="1" t="s">
        <v>183</v>
      </c>
      <c r="C144" s="1" t="s">
        <v>36</v>
      </c>
      <c r="D144" s="1">
        <v>244</v>
      </c>
      <c r="E144" s="20">
        <v>61422188</v>
      </c>
      <c r="F144">
        <f t="shared" si="2"/>
        <v>28.6</v>
      </c>
      <c r="G144" t="str" cm="1">
        <f t="array" ref="G144">_xlfn.IFS(
  F144 &gt;= 90, "Key Opinion Leader",
  F144 &gt;= 70, "High Value",
  F144 &gt;= 30, "Standard",
  TRUE, "Low Engagement"
)</f>
        <v>Low Engagement</v>
      </c>
    </row>
    <row r="145" spans="1:7">
      <c r="A145" s="1">
        <v>192</v>
      </c>
      <c r="B145" s="1" t="s">
        <v>184</v>
      </c>
      <c r="C145" s="1" t="s">
        <v>47</v>
      </c>
      <c r="D145" s="1">
        <v>236</v>
      </c>
      <c r="E145" s="20">
        <v>61412659</v>
      </c>
      <c r="F145">
        <f t="shared" si="2"/>
        <v>28.1</v>
      </c>
      <c r="G145" t="str" cm="1">
        <f t="array" ref="G145">_xlfn.IFS(
  F145 &gt;= 90, "Key Opinion Leader",
  F145 &gt;= 70, "High Value",
  F145 &gt;= 30, "Standard",
  TRUE, "Low Engagement"
)</f>
        <v>Low Engagement</v>
      </c>
    </row>
    <row r="146" spans="1:7">
      <c r="A146" s="1">
        <v>32</v>
      </c>
      <c r="B146" s="1" t="s">
        <v>185</v>
      </c>
      <c r="C146" s="1" t="s">
        <v>38</v>
      </c>
      <c r="D146" s="1">
        <v>233</v>
      </c>
      <c r="E146" s="20">
        <v>61247495</v>
      </c>
      <c r="F146">
        <f t="shared" si="2"/>
        <v>27.6</v>
      </c>
      <c r="G146" t="str" cm="1">
        <f t="array" ref="G146">_xlfn.IFS(
  F146 &gt;= 90, "Key Opinion Leader",
  F146 &gt;= 70, "High Value",
  F146 &gt;= 30, "Standard",
  TRUE, "Low Engagement"
)</f>
        <v>Low Engagement</v>
      </c>
    </row>
    <row r="147" spans="1:7">
      <c r="A147" s="1">
        <v>70</v>
      </c>
      <c r="B147" s="1" t="s">
        <v>186</v>
      </c>
      <c r="C147" s="1" t="s">
        <v>38</v>
      </c>
      <c r="D147" s="1">
        <v>253</v>
      </c>
      <c r="E147" s="20">
        <v>61196580</v>
      </c>
      <c r="F147">
        <f t="shared" si="2"/>
        <v>27.1</v>
      </c>
      <c r="G147" t="str" cm="1">
        <f t="array" ref="G147">_xlfn.IFS(
  F147 &gt;= 90, "Key Opinion Leader",
  F147 &gt;= 70, "High Value",
  F147 &gt;= 30, "Standard",
  TRUE, "Low Engagement"
)</f>
        <v>Low Engagement</v>
      </c>
    </row>
    <row r="148" spans="1:7">
      <c r="A148" s="1">
        <v>114</v>
      </c>
      <c r="B148" s="1" t="s">
        <v>187</v>
      </c>
      <c r="C148" s="1" t="s">
        <v>42</v>
      </c>
      <c r="D148" s="1">
        <v>239</v>
      </c>
      <c r="E148" s="20">
        <v>61071845</v>
      </c>
      <c r="F148">
        <f t="shared" si="2"/>
        <v>26.6</v>
      </c>
      <c r="G148" t="str" cm="1">
        <f t="array" ref="G148">_xlfn.IFS(
  F148 &gt;= 90, "Key Opinion Leader",
  F148 &gt;= 70, "High Value",
  F148 &gt;= 30, "Standard",
  TRUE, "Low Engagement"
)</f>
        <v>Low Engagement</v>
      </c>
    </row>
    <row r="149" spans="1:7">
      <c r="A149" s="1">
        <v>159</v>
      </c>
      <c r="B149" s="1" t="s">
        <v>188</v>
      </c>
      <c r="C149" s="1" t="s">
        <v>47</v>
      </c>
      <c r="D149" s="1">
        <v>262</v>
      </c>
      <c r="E149" s="20">
        <v>61062608</v>
      </c>
      <c r="F149">
        <f t="shared" si="2"/>
        <v>26.1</v>
      </c>
      <c r="G149" t="str" cm="1">
        <f t="array" ref="G149">_xlfn.IFS(
  F149 &gt;= 90, "Key Opinion Leader",
  F149 &gt;= 70, "High Value",
  F149 &gt;= 30, "Standard",
  TRUE, "Low Engagement"
)</f>
        <v>Low Engagement</v>
      </c>
    </row>
    <row r="150" spans="1:7">
      <c r="A150" s="1">
        <v>132</v>
      </c>
      <c r="B150" s="1" t="s">
        <v>189</v>
      </c>
      <c r="C150" s="1" t="s">
        <v>49</v>
      </c>
      <c r="D150" s="1">
        <v>243</v>
      </c>
      <c r="E150" s="20">
        <v>61050211</v>
      </c>
      <c r="F150">
        <f t="shared" si="2"/>
        <v>25.6</v>
      </c>
      <c r="G150" t="str" cm="1">
        <f t="array" ref="G150">_xlfn.IFS(
  F150 &gt;= 90, "Key Opinion Leader",
  F150 &gt;= 70, "High Value",
  F150 &gt;= 30, "Standard",
  TRUE, "Low Engagement"
)</f>
        <v>Low Engagement</v>
      </c>
    </row>
    <row r="151" spans="1:7">
      <c r="A151" s="1">
        <v>5</v>
      </c>
      <c r="B151" s="1" t="s">
        <v>190</v>
      </c>
      <c r="C151" s="1" t="s">
        <v>38</v>
      </c>
      <c r="D151" s="1">
        <v>252</v>
      </c>
      <c r="E151" s="20">
        <v>61013213</v>
      </c>
      <c r="F151">
        <f t="shared" si="2"/>
        <v>25.1</v>
      </c>
      <c r="G151" t="str" cm="1">
        <f t="array" ref="G151">_xlfn.IFS(
  F151 &gt;= 90, "Key Opinion Leader",
  F151 &gt;= 70, "High Value",
  F151 &gt;= 30, "Standard",
  TRUE, "Low Engagement"
)</f>
        <v>Low Engagement</v>
      </c>
    </row>
    <row r="152" spans="1:7">
      <c r="A152" s="1">
        <v>142</v>
      </c>
      <c r="B152" s="1" t="s">
        <v>191</v>
      </c>
      <c r="C152" s="1" t="s">
        <v>42</v>
      </c>
      <c r="D152" s="1">
        <v>255</v>
      </c>
      <c r="E152" s="20">
        <v>61012150</v>
      </c>
      <c r="F152">
        <f t="shared" si="2"/>
        <v>24.6</v>
      </c>
      <c r="G152" t="str" cm="1">
        <f t="array" ref="G152">_xlfn.IFS(
  F152 &gt;= 90, "Key Opinion Leader",
  F152 &gt;= 70, "High Value",
  F152 &gt;= 30, "Standard",
  TRUE, "Low Engagement"
)</f>
        <v>Low Engagement</v>
      </c>
    </row>
    <row r="153" spans="1:7">
      <c r="A153" s="1">
        <v>67</v>
      </c>
      <c r="B153" s="1" t="s">
        <v>192</v>
      </c>
      <c r="C153" s="1" t="s">
        <v>49</v>
      </c>
      <c r="D153" s="1">
        <v>250</v>
      </c>
      <c r="E153" s="20">
        <v>60821138</v>
      </c>
      <c r="F153">
        <f t="shared" si="2"/>
        <v>24.1</v>
      </c>
      <c r="G153" t="str" cm="1">
        <f t="array" ref="G153">_xlfn.IFS(
  F153 &gt;= 90, "Key Opinion Leader",
  F153 &gt;= 70, "High Value",
  F153 &gt;= 30, "Standard",
  TRUE, "Low Engagement"
)</f>
        <v>Low Engagement</v>
      </c>
    </row>
    <row r="154" spans="1:7">
      <c r="A154" s="1">
        <v>108</v>
      </c>
      <c r="B154" s="1" t="s">
        <v>193</v>
      </c>
      <c r="C154" s="1" t="s">
        <v>42</v>
      </c>
      <c r="D154" s="1">
        <v>260</v>
      </c>
      <c r="E154" s="20">
        <v>60722071</v>
      </c>
      <c r="F154">
        <f t="shared" si="2"/>
        <v>23.6</v>
      </c>
      <c r="G154" t="str" cm="1">
        <f t="array" ref="G154">_xlfn.IFS(
  F154 &gt;= 90, "Key Opinion Leader",
  F154 &gt;= 70, "High Value",
  F154 &gt;= 30, "Standard",
  TRUE, "Low Engagement"
)</f>
        <v>Low Engagement</v>
      </c>
    </row>
    <row r="155" spans="1:7">
      <c r="A155" s="1">
        <v>106</v>
      </c>
      <c r="B155" s="1" t="s">
        <v>194</v>
      </c>
      <c r="C155" s="1" t="s">
        <v>51</v>
      </c>
      <c r="D155" s="1">
        <v>246</v>
      </c>
      <c r="E155" s="20">
        <v>60676154</v>
      </c>
      <c r="F155">
        <f t="shared" si="2"/>
        <v>23.1</v>
      </c>
      <c r="G155" t="str" cm="1">
        <f t="array" ref="G155">_xlfn.IFS(
  F155 &gt;= 90, "Key Opinion Leader",
  F155 &gt;= 70, "High Value",
  F155 &gt;= 30, "Standard",
  TRUE, "Low Engagement"
)</f>
        <v>Low Engagement</v>
      </c>
    </row>
    <row r="156" spans="1:7">
      <c r="A156" s="1">
        <v>3</v>
      </c>
      <c r="B156" s="1" t="s">
        <v>195</v>
      </c>
      <c r="C156" s="1" t="s">
        <v>60</v>
      </c>
      <c r="D156" s="1">
        <v>255</v>
      </c>
      <c r="E156" s="20">
        <v>60660834</v>
      </c>
      <c r="F156">
        <f t="shared" si="2"/>
        <v>22.6</v>
      </c>
      <c r="G156" t="str" cm="1">
        <f t="array" ref="G156">_xlfn.IFS(
  F156 &gt;= 90, "Key Opinion Leader",
  F156 &gt;= 70, "High Value",
  F156 &gt;= 30, "Standard",
  TRUE, "Low Engagement"
)</f>
        <v>Low Engagement</v>
      </c>
    </row>
    <row r="157" spans="1:7">
      <c r="A157" s="1">
        <v>119</v>
      </c>
      <c r="B157" s="1" t="s">
        <v>196</v>
      </c>
      <c r="C157" s="1" t="s">
        <v>42</v>
      </c>
      <c r="D157" s="1">
        <v>245</v>
      </c>
      <c r="E157" s="20">
        <v>60580318</v>
      </c>
      <c r="F157">
        <f t="shared" si="2"/>
        <v>22.1</v>
      </c>
      <c r="G157" t="str" cm="1">
        <f t="array" ref="G157">_xlfn.IFS(
  F157 &gt;= 90, "Key Opinion Leader",
  F157 &gt;= 70, "High Value",
  F157 &gt;= 30, "Standard",
  TRUE, "Low Engagement"
)</f>
        <v>Low Engagement</v>
      </c>
    </row>
    <row r="158" spans="1:7">
      <c r="A158" s="1">
        <v>55</v>
      </c>
      <c r="B158" s="1" t="s">
        <v>197</v>
      </c>
      <c r="C158" s="1" t="s">
        <v>47</v>
      </c>
      <c r="D158" s="1">
        <v>246</v>
      </c>
      <c r="E158" s="20">
        <v>60435763</v>
      </c>
      <c r="F158">
        <f t="shared" si="2"/>
        <v>21.6</v>
      </c>
      <c r="G158" t="str" cm="1">
        <f t="array" ref="G158">_xlfn.IFS(
  F158 &gt;= 90, "Key Opinion Leader",
  F158 &gt;= 70, "High Value",
  F158 &gt;= 30, "Standard",
  TRUE, "Low Engagement"
)</f>
        <v>Low Engagement</v>
      </c>
    </row>
    <row r="159" spans="1:7">
      <c r="A159" s="1">
        <v>139</v>
      </c>
      <c r="B159" s="1" t="s">
        <v>198</v>
      </c>
      <c r="C159" s="1" t="s">
        <v>42</v>
      </c>
      <c r="D159" s="1">
        <v>236</v>
      </c>
      <c r="E159" s="20">
        <v>60220173</v>
      </c>
      <c r="F159">
        <f t="shared" si="2"/>
        <v>21.1</v>
      </c>
      <c r="G159" t="str" cm="1">
        <f t="array" ref="G159">_xlfn.IFS(
  F159 &gt;= 90, "Key Opinion Leader",
  F159 &gt;= 70, "High Value",
  F159 &gt;= 30, "Standard",
  TRUE, "Low Engagement"
)</f>
        <v>Low Engagement</v>
      </c>
    </row>
    <row r="160" spans="1:7">
      <c r="A160" s="1">
        <v>20</v>
      </c>
      <c r="B160" s="1" t="s">
        <v>199</v>
      </c>
      <c r="C160" s="1" t="s">
        <v>60</v>
      </c>
      <c r="D160" s="1">
        <v>251</v>
      </c>
      <c r="E160" s="20">
        <v>60145375</v>
      </c>
      <c r="F160">
        <f t="shared" si="2"/>
        <v>20.6</v>
      </c>
      <c r="G160" t="str" cm="1">
        <f t="array" ref="G160">_xlfn.IFS(
  F160 &gt;= 90, "Key Opinion Leader",
  F160 &gt;= 70, "High Value",
  F160 &gt;= 30, "Standard",
  TRUE, "Low Engagement"
)</f>
        <v>Low Engagement</v>
      </c>
    </row>
    <row r="161" spans="1:7">
      <c r="A161" s="1">
        <v>76</v>
      </c>
      <c r="B161" s="1" t="s">
        <v>200</v>
      </c>
      <c r="C161" s="1" t="s">
        <v>47</v>
      </c>
      <c r="D161" s="1">
        <v>255</v>
      </c>
      <c r="E161" s="20">
        <v>59933764</v>
      </c>
      <c r="F161">
        <f t="shared" si="2"/>
        <v>20.100000000000001</v>
      </c>
      <c r="G161" t="str" cm="1">
        <f t="array" ref="G161">_xlfn.IFS(
  F161 &gt;= 90, "Key Opinion Leader",
  F161 &gt;= 70, "High Value",
  F161 &gt;= 30, "Standard",
  TRUE, "Low Engagement"
)</f>
        <v>Low Engagement</v>
      </c>
    </row>
    <row r="162" spans="1:7">
      <c r="A162" s="1">
        <v>34</v>
      </c>
      <c r="B162" s="1" t="s">
        <v>201</v>
      </c>
      <c r="C162" s="1" t="s">
        <v>36</v>
      </c>
      <c r="D162" s="1">
        <v>228</v>
      </c>
      <c r="E162" s="20">
        <v>59888668</v>
      </c>
      <c r="F162">
        <f t="shared" si="2"/>
        <v>19.5</v>
      </c>
      <c r="G162" t="str" cm="1">
        <f t="array" ref="G162">_xlfn.IFS(
  F162 &gt;= 90, "Key Opinion Leader",
  F162 &gt;= 70, "High Value",
  F162 &gt;= 30, "Standard",
  TRUE, "Low Engagement"
)</f>
        <v>Low Engagement</v>
      </c>
    </row>
    <row r="163" spans="1:7">
      <c r="A163" s="1">
        <v>171</v>
      </c>
      <c r="B163" s="1" t="s">
        <v>202</v>
      </c>
      <c r="C163" s="1" t="s">
        <v>60</v>
      </c>
      <c r="D163" s="1">
        <v>247</v>
      </c>
      <c r="E163" s="20">
        <v>59845370</v>
      </c>
      <c r="F163">
        <f t="shared" si="2"/>
        <v>19</v>
      </c>
      <c r="G163" t="str" cm="1">
        <f t="array" ref="G163">_xlfn.IFS(
  F163 &gt;= 90, "Key Opinion Leader",
  F163 &gt;= 70, "High Value",
  F163 &gt;= 30, "Standard",
  TRUE, "Low Engagement"
)</f>
        <v>Low Engagement</v>
      </c>
    </row>
    <row r="164" spans="1:7">
      <c r="A164" s="1">
        <v>157</v>
      </c>
      <c r="B164" s="1" t="s">
        <v>203</v>
      </c>
      <c r="C164" s="1" t="s">
        <v>49</v>
      </c>
      <c r="D164" s="1">
        <v>255</v>
      </c>
      <c r="E164" s="20">
        <v>59671421</v>
      </c>
      <c r="F164">
        <f t="shared" si="2"/>
        <v>18.5</v>
      </c>
      <c r="G164" t="str" cm="1">
        <f t="array" ref="G164">_xlfn.IFS(
  F164 &gt;= 90, "Key Opinion Leader",
  F164 &gt;= 70, "High Value",
  F164 &gt;= 30, "Standard",
  TRUE, "Low Engagement"
)</f>
        <v>Low Engagement</v>
      </c>
    </row>
    <row r="165" spans="1:7">
      <c r="A165" s="1">
        <v>181</v>
      </c>
      <c r="B165" s="1" t="s">
        <v>204</v>
      </c>
      <c r="C165" s="1" t="s">
        <v>42</v>
      </c>
      <c r="D165" s="1">
        <v>230</v>
      </c>
      <c r="E165" s="20">
        <v>59632488</v>
      </c>
      <c r="F165">
        <f t="shared" si="2"/>
        <v>18</v>
      </c>
      <c r="G165" t="str" cm="1">
        <f t="array" ref="G165">_xlfn.IFS(
  F165 &gt;= 90, "Key Opinion Leader",
  F165 &gt;= 70, "High Value",
  F165 &gt;= 30, "Standard",
  TRUE, "Low Engagement"
)</f>
        <v>Low Engagement</v>
      </c>
    </row>
    <row r="166" spans="1:7">
      <c r="A166" s="1">
        <v>178</v>
      </c>
      <c r="B166" s="1" t="s">
        <v>205</v>
      </c>
      <c r="C166" s="1" t="s">
        <v>47</v>
      </c>
      <c r="D166" s="1">
        <v>237</v>
      </c>
      <c r="E166" s="20">
        <v>59429630</v>
      </c>
      <c r="F166">
        <f t="shared" si="2"/>
        <v>17.5</v>
      </c>
      <c r="G166" t="str" cm="1">
        <f t="array" ref="G166">_xlfn.IFS(
  F166 &gt;= 90, "Key Opinion Leader",
  F166 &gt;= 70, "High Value",
  F166 &gt;= 30, "Standard",
  TRUE, "Low Engagement"
)</f>
        <v>Low Engagement</v>
      </c>
    </row>
    <row r="167" spans="1:7">
      <c r="A167" s="1">
        <v>153</v>
      </c>
      <c r="B167" s="1" t="s">
        <v>206</v>
      </c>
      <c r="C167" s="1" t="s">
        <v>38</v>
      </c>
      <c r="D167" s="1">
        <v>239</v>
      </c>
      <c r="E167" s="20">
        <v>59268326</v>
      </c>
      <c r="F167">
        <f t="shared" si="2"/>
        <v>17</v>
      </c>
      <c r="G167" t="str" cm="1">
        <f t="array" ref="G167">_xlfn.IFS(
  F167 &gt;= 90, "Key Opinion Leader",
  F167 &gt;= 70, "High Value",
  F167 &gt;= 30, "Standard",
  TRUE, "Low Engagement"
)</f>
        <v>Low Engagement</v>
      </c>
    </row>
    <row r="168" spans="1:7">
      <c r="A168" s="1">
        <v>6</v>
      </c>
      <c r="B168" s="1" t="s">
        <v>207</v>
      </c>
      <c r="C168" s="1" t="s">
        <v>49</v>
      </c>
      <c r="D168" s="1">
        <v>242</v>
      </c>
      <c r="E168" s="20">
        <v>59179883</v>
      </c>
      <c r="F168">
        <f t="shared" si="2"/>
        <v>16.5</v>
      </c>
      <c r="G168" t="str" cm="1">
        <f t="array" ref="G168">_xlfn.IFS(
  F168 &gt;= 90, "Key Opinion Leader",
  F168 &gt;= 70, "High Value",
  F168 &gt;= 30, "Standard",
  TRUE, "Low Engagement"
)</f>
        <v>Low Engagement</v>
      </c>
    </row>
    <row r="169" spans="1:7">
      <c r="A169" s="1">
        <v>81</v>
      </c>
      <c r="B169" s="1" t="s">
        <v>208</v>
      </c>
      <c r="C169" s="1" t="s">
        <v>47</v>
      </c>
      <c r="D169" s="1">
        <v>246</v>
      </c>
      <c r="E169" s="20">
        <v>59015564</v>
      </c>
      <c r="F169">
        <f t="shared" si="2"/>
        <v>16</v>
      </c>
      <c r="G169" t="str" cm="1">
        <f t="array" ref="G169">_xlfn.IFS(
  F169 &gt;= 90, "Key Opinion Leader",
  F169 &gt;= 70, "High Value",
  F169 &gt;= 30, "Standard",
  TRUE, "Low Engagement"
)</f>
        <v>Low Engagement</v>
      </c>
    </row>
    <row r="170" spans="1:7">
      <c r="A170" s="1">
        <v>74</v>
      </c>
      <c r="B170" s="1" t="s">
        <v>209</v>
      </c>
      <c r="C170" s="1" t="s">
        <v>38</v>
      </c>
      <c r="D170" s="1">
        <v>256</v>
      </c>
      <c r="E170" s="20">
        <v>58778519</v>
      </c>
      <c r="F170">
        <f t="shared" si="2"/>
        <v>15.5</v>
      </c>
      <c r="G170" t="str" cm="1">
        <f t="array" ref="G170">_xlfn.IFS(
  F170 &gt;= 90, "Key Opinion Leader",
  F170 &gt;= 70, "High Value",
  F170 &gt;= 30, "Standard",
  TRUE, "Low Engagement"
)</f>
        <v>Low Engagement</v>
      </c>
    </row>
    <row r="171" spans="1:7">
      <c r="A171" s="1">
        <v>71</v>
      </c>
      <c r="B171" s="1" t="s">
        <v>210</v>
      </c>
      <c r="C171" s="1" t="s">
        <v>42</v>
      </c>
      <c r="D171" s="1">
        <v>232</v>
      </c>
      <c r="E171" s="20">
        <v>58740485</v>
      </c>
      <c r="F171">
        <f t="shared" si="2"/>
        <v>15</v>
      </c>
      <c r="G171" t="str" cm="1">
        <f t="array" ref="G171">_xlfn.IFS(
  F171 &gt;= 90, "Key Opinion Leader",
  F171 &gt;= 70, "High Value",
  F171 &gt;= 30, "Standard",
  TRUE, "Low Engagement"
)</f>
        <v>Low Engagement</v>
      </c>
    </row>
    <row r="172" spans="1:7">
      <c r="A172" s="1">
        <v>28</v>
      </c>
      <c r="B172" s="1" t="s">
        <v>211</v>
      </c>
      <c r="C172" s="1" t="s">
        <v>38</v>
      </c>
      <c r="D172" s="1">
        <v>232</v>
      </c>
      <c r="E172" s="20">
        <v>58352742</v>
      </c>
      <c r="F172">
        <f t="shared" si="2"/>
        <v>14.5</v>
      </c>
      <c r="G172" t="str" cm="1">
        <f t="array" ref="G172">_xlfn.IFS(
  F172 &gt;= 90, "Key Opinion Leader",
  F172 &gt;= 70, "High Value",
  F172 &gt;= 30, "Standard",
  TRUE, "Low Engagement"
)</f>
        <v>Low Engagement</v>
      </c>
    </row>
    <row r="173" spans="1:7">
      <c r="A173" s="1">
        <v>82</v>
      </c>
      <c r="B173" s="1" t="s">
        <v>212</v>
      </c>
      <c r="C173" s="1" t="s">
        <v>60</v>
      </c>
      <c r="D173" s="1">
        <v>224</v>
      </c>
      <c r="E173" s="20">
        <v>58058005</v>
      </c>
      <c r="F173">
        <f t="shared" si="2"/>
        <v>14</v>
      </c>
      <c r="G173" t="str" cm="1">
        <f t="array" ref="G173">_xlfn.IFS(
  F173 &gt;= 90, "Key Opinion Leader",
  F173 &gt;= 70, "High Value",
  F173 &gt;= 30, "Standard",
  TRUE, "Low Engagement"
)</f>
        <v>Low Engagement</v>
      </c>
    </row>
    <row r="174" spans="1:7">
      <c r="A174" s="1">
        <v>147</v>
      </c>
      <c r="B174" s="1" t="s">
        <v>213</v>
      </c>
      <c r="C174" s="1" t="s">
        <v>38</v>
      </c>
      <c r="D174" s="1">
        <v>221</v>
      </c>
      <c r="E174" s="20">
        <v>58010468</v>
      </c>
      <c r="F174">
        <f t="shared" si="2"/>
        <v>13.5</v>
      </c>
      <c r="G174" t="str" cm="1">
        <f t="array" ref="G174">_xlfn.IFS(
  F174 &gt;= 90, "Key Opinion Leader",
  F174 &gt;= 70, "High Value",
  F174 &gt;= 30, "Standard",
  TRUE, "Low Engagement"
)</f>
        <v>Low Engagement</v>
      </c>
    </row>
    <row r="175" spans="1:7">
      <c r="A175" s="1">
        <v>175</v>
      </c>
      <c r="B175" s="1" t="s">
        <v>214</v>
      </c>
      <c r="C175" s="1" t="s">
        <v>51</v>
      </c>
      <c r="D175" s="1">
        <v>244</v>
      </c>
      <c r="E175" s="20">
        <v>57899668</v>
      </c>
      <c r="F175">
        <f t="shared" si="2"/>
        <v>13</v>
      </c>
      <c r="G175" t="str" cm="1">
        <f t="array" ref="G175">_xlfn.IFS(
  F175 &gt;= 90, "Key Opinion Leader",
  F175 &gt;= 70, "High Value",
  F175 &gt;= 30, "Standard",
  TRUE, "Low Engagement"
)</f>
        <v>Low Engagement</v>
      </c>
    </row>
    <row r="176" spans="1:7">
      <c r="A176" s="1">
        <v>195</v>
      </c>
      <c r="B176" s="1" t="s">
        <v>215</v>
      </c>
      <c r="C176" s="1" t="s">
        <v>51</v>
      </c>
      <c r="D176" s="1">
        <v>238</v>
      </c>
      <c r="E176" s="20">
        <v>57836000</v>
      </c>
      <c r="F176">
        <f t="shared" si="2"/>
        <v>12.5</v>
      </c>
      <c r="G176" t="str" cm="1">
        <f t="array" ref="G176">_xlfn.IFS(
  F176 &gt;= 90, "Key Opinion Leader",
  F176 &gt;= 70, "High Value",
  F176 &gt;= 30, "Standard",
  TRUE, "Low Engagement"
)</f>
        <v>Low Engagement</v>
      </c>
    </row>
    <row r="177" spans="1:7">
      <c r="A177" s="1">
        <v>15</v>
      </c>
      <c r="B177" s="1" t="s">
        <v>216</v>
      </c>
      <c r="C177" s="1" t="s">
        <v>38</v>
      </c>
      <c r="D177" s="1">
        <v>236</v>
      </c>
      <c r="E177" s="20">
        <v>57667246</v>
      </c>
      <c r="F177">
        <f t="shared" si="2"/>
        <v>12</v>
      </c>
      <c r="G177" t="str" cm="1">
        <f t="array" ref="G177">_xlfn.IFS(
  F177 &gt;= 90, "Key Opinion Leader",
  F177 &gt;= 70, "High Value",
  F177 &gt;= 30, "Standard",
  TRUE, "Low Engagement"
)</f>
        <v>Low Engagement</v>
      </c>
    </row>
    <row r="178" spans="1:7">
      <c r="A178" s="1">
        <v>46</v>
      </c>
      <c r="B178" s="1" t="s">
        <v>217</v>
      </c>
      <c r="C178" s="1" t="s">
        <v>47</v>
      </c>
      <c r="D178" s="1">
        <v>229</v>
      </c>
      <c r="E178" s="20">
        <v>57320046</v>
      </c>
      <c r="F178">
        <f t="shared" si="2"/>
        <v>11.5</v>
      </c>
      <c r="G178" t="str" cm="1">
        <f t="array" ref="G178">_xlfn.IFS(
  F178 &gt;= 90, "Key Opinion Leader",
  F178 &gt;= 70, "High Value",
  F178 &gt;= 30, "Standard",
  TRUE, "Low Engagement"
)</f>
        <v>Low Engagement</v>
      </c>
    </row>
    <row r="179" spans="1:7">
      <c r="A179" s="1">
        <v>190</v>
      </c>
      <c r="B179" s="1" t="s">
        <v>218</v>
      </c>
      <c r="C179" s="1" t="s">
        <v>36</v>
      </c>
      <c r="D179" s="1">
        <v>233</v>
      </c>
      <c r="E179" s="20">
        <v>57023418</v>
      </c>
      <c r="F179">
        <f t="shared" si="2"/>
        <v>11</v>
      </c>
      <c r="G179" t="str" cm="1">
        <f t="array" ref="G179">_xlfn.IFS(
  F179 &gt;= 90, "Key Opinion Leader",
  F179 &gt;= 70, "High Value",
  F179 &gt;= 30, "Standard",
  TRUE, "Low Engagement"
)</f>
        <v>Low Engagement</v>
      </c>
    </row>
    <row r="180" spans="1:7">
      <c r="A180" s="1">
        <v>107</v>
      </c>
      <c r="B180" s="1" t="s">
        <v>219</v>
      </c>
      <c r="C180" s="1" t="s">
        <v>47</v>
      </c>
      <c r="D180" s="1">
        <v>232</v>
      </c>
      <c r="E180" s="20">
        <v>57006907</v>
      </c>
      <c r="F180">
        <f t="shared" si="2"/>
        <v>10.5</v>
      </c>
      <c r="G180" t="str" cm="1">
        <f t="array" ref="G180">_xlfn.IFS(
  F180 &gt;= 90, "Key Opinion Leader",
  F180 &gt;= 70, "High Value",
  F180 &gt;= 30, "Standard",
  TRUE, "Low Engagement"
)</f>
        <v>Low Engagement</v>
      </c>
    </row>
    <row r="181" spans="1:7">
      <c r="A181" s="1">
        <v>89</v>
      </c>
      <c r="B181" s="1" t="s">
        <v>220</v>
      </c>
      <c r="C181" s="1" t="s">
        <v>49</v>
      </c>
      <c r="D181" s="1">
        <v>240</v>
      </c>
      <c r="E181" s="20">
        <v>56683857</v>
      </c>
      <c r="F181">
        <f t="shared" si="2"/>
        <v>10</v>
      </c>
      <c r="G181" t="str" cm="1">
        <f t="array" ref="G181">_xlfn.IFS(
  F181 &gt;= 90, "Key Opinion Leader",
  F181 &gt;= 70, "High Value",
  F181 &gt;= 30, "Standard",
  TRUE, "Low Engagement"
)</f>
        <v>Low Engagement</v>
      </c>
    </row>
    <row r="182" spans="1:7">
      <c r="A182" s="1">
        <v>118</v>
      </c>
      <c r="B182" s="1" t="s">
        <v>221</v>
      </c>
      <c r="C182" s="1" t="s">
        <v>42</v>
      </c>
      <c r="D182" s="1">
        <v>232</v>
      </c>
      <c r="E182" s="20">
        <v>56488007</v>
      </c>
      <c r="F182">
        <f t="shared" si="2"/>
        <v>9.5</v>
      </c>
      <c r="G182" t="str" cm="1">
        <f t="array" ref="G182">_xlfn.IFS(
  F182 &gt;= 90, "Key Opinion Leader",
  F182 &gt;= 70, "High Value",
  F182 &gt;= 30, "Standard",
  TRUE, "Low Engagement"
)</f>
        <v>Low Engagement</v>
      </c>
    </row>
    <row r="183" spans="1:7">
      <c r="A183" s="1">
        <v>17</v>
      </c>
      <c r="B183" s="1" t="s">
        <v>222</v>
      </c>
      <c r="C183" s="1" t="s">
        <v>42</v>
      </c>
      <c r="D183" s="1">
        <v>237</v>
      </c>
      <c r="E183" s="20">
        <v>56473866</v>
      </c>
      <c r="F183">
        <f t="shared" si="2"/>
        <v>9</v>
      </c>
      <c r="G183" t="str" cm="1">
        <f t="array" ref="G183">_xlfn.IFS(
  F183 &gt;= 90, "Key Opinion Leader",
  F183 &gt;= 70, "High Value",
  F183 &gt;= 30, "Standard",
  TRUE, "Low Engagement"
)</f>
        <v>Low Engagement</v>
      </c>
    </row>
    <row r="184" spans="1:7">
      <c r="A184" s="1">
        <v>58</v>
      </c>
      <c r="B184" s="1" t="s">
        <v>223</v>
      </c>
      <c r="C184" s="1" t="s">
        <v>38</v>
      </c>
      <c r="D184" s="1">
        <v>229</v>
      </c>
      <c r="E184" s="20">
        <v>56190044</v>
      </c>
      <c r="F184">
        <f t="shared" si="2"/>
        <v>8.5</v>
      </c>
      <c r="G184" t="str" cm="1">
        <f t="array" ref="G184">_xlfn.IFS(
  F184 &gt;= 90, "Key Opinion Leader",
  F184 &gt;= 70, "High Value",
  F184 &gt;= 30, "Standard",
  TRUE, "Low Engagement"
)</f>
        <v>Low Engagement</v>
      </c>
    </row>
    <row r="185" spans="1:7">
      <c r="A185" s="1">
        <v>126</v>
      </c>
      <c r="B185" s="1" t="s">
        <v>224</v>
      </c>
      <c r="C185" s="1" t="s">
        <v>38</v>
      </c>
      <c r="D185" s="1">
        <v>242</v>
      </c>
      <c r="E185" s="20">
        <v>56069611</v>
      </c>
      <c r="F185">
        <f t="shared" si="2"/>
        <v>8</v>
      </c>
      <c r="G185" t="str" cm="1">
        <f t="array" ref="G185">_xlfn.IFS(
  F185 &gt;= 90, "Key Opinion Leader",
  F185 &gt;= 70, "High Value",
  F185 &gt;= 30, "Standard",
  TRUE, "Low Engagement"
)</f>
        <v>Low Engagement</v>
      </c>
    </row>
    <row r="186" spans="1:7">
      <c r="A186" s="1">
        <v>188</v>
      </c>
      <c r="B186" s="1" t="s">
        <v>225</v>
      </c>
      <c r="C186" s="1" t="s">
        <v>51</v>
      </c>
      <c r="D186" s="1">
        <v>240</v>
      </c>
      <c r="E186" s="20">
        <v>56033423</v>
      </c>
      <c r="F186">
        <f t="shared" si="2"/>
        <v>7.5</v>
      </c>
      <c r="G186" t="str" cm="1">
        <f t="array" ref="G186">_xlfn.IFS(
  F186 &gt;= 90, "Key Opinion Leader",
  F186 &gt;= 70, "High Value",
  F186 &gt;= 30, "Standard",
  TRUE, "Low Engagement"
)</f>
        <v>Low Engagement</v>
      </c>
    </row>
    <row r="187" spans="1:7">
      <c r="A187" s="1">
        <v>133</v>
      </c>
      <c r="B187" s="1" t="s">
        <v>162</v>
      </c>
      <c r="C187" s="1" t="s">
        <v>47</v>
      </c>
      <c r="D187" s="1">
        <v>223</v>
      </c>
      <c r="E187" s="20">
        <v>55974931</v>
      </c>
      <c r="F187">
        <f t="shared" si="2"/>
        <v>7</v>
      </c>
      <c r="G187" t="str" cm="1">
        <f t="array" ref="G187">_xlfn.IFS(
  F187 &gt;= 90, "Key Opinion Leader",
  F187 &gt;= 70, "High Value",
  F187 &gt;= 30, "Standard",
  TRUE, "Low Engagement"
)</f>
        <v>Low Engagement</v>
      </c>
    </row>
    <row r="188" spans="1:7">
      <c r="A188" s="1">
        <v>45</v>
      </c>
      <c r="B188" s="1" t="s">
        <v>226</v>
      </c>
      <c r="C188" s="1" t="s">
        <v>38</v>
      </c>
      <c r="D188" s="1">
        <v>230</v>
      </c>
      <c r="E188" s="20">
        <v>55928749</v>
      </c>
      <c r="F188">
        <f t="shared" si="2"/>
        <v>6.5</v>
      </c>
      <c r="G188" t="str" cm="1">
        <f t="array" ref="G188">_xlfn.IFS(
  F188 &gt;= 90, "Key Opinion Leader",
  F188 &gt;= 70, "High Value",
  F188 &gt;= 30, "Standard",
  TRUE, "Low Engagement"
)</f>
        <v>Low Engagement</v>
      </c>
    </row>
    <row r="189" spans="1:7">
      <c r="A189" s="1">
        <v>35</v>
      </c>
      <c r="B189" s="1" t="s">
        <v>227</v>
      </c>
      <c r="C189" s="1" t="s">
        <v>51</v>
      </c>
      <c r="D189" s="1">
        <v>237</v>
      </c>
      <c r="E189" s="20">
        <v>55897994</v>
      </c>
      <c r="F189">
        <f t="shared" si="2"/>
        <v>6</v>
      </c>
      <c r="G189" t="str" cm="1">
        <f t="array" ref="G189">_xlfn.IFS(
  F189 &gt;= 90, "Key Opinion Leader",
  F189 &gt;= 70, "High Value",
  F189 &gt;= 30, "Standard",
  TRUE, "Low Engagement"
)</f>
        <v>Low Engagement</v>
      </c>
    </row>
    <row r="190" spans="1:7">
      <c r="A190" s="1">
        <v>30</v>
      </c>
      <c r="B190" s="1" t="s">
        <v>228</v>
      </c>
      <c r="C190" s="1" t="s">
        <v>36</v>
      </c>
      <c r="D190" s="1">
        <v>226</v>
      </c>
      <c r="E190" s="20">
        <v>55853000</v>
      </c>
      <c r="F190">
        <f t="shared" si="2"/>
        <v>5.5</v>
      </c>
      <c r="G190" t="str" cm="1">
        <f t="array" ref="G190">_xlfn.IFS(
  F190 &gt;= 90, "Key Opinion Leader",
  F190 &gt;= 70, "High Value",
  F190 &gt;= 30, "Standard",
  TRUE, "Low Engagement"
)</f>
        <v>Low Engagement</v>
      </c>
    </row>
    <row r="191" spans="1:7">
      <c r="A191" s="1">
        <v>21</v>
      </c>
      <c r="B191" s="1" t="s">
        <v>229</v>
      </c>
      <c r="C191" s="1" t="s">
        <v>47</v>
      </c>
      <c r="D191" s="1">
        <v>233</v>
      </c>
      <c r="E191" s="20">
        <v>55591299</v>
      </c>
      <c r="F191">
        <f t="shared" si="2"/>
        <v>5</v>
      </c>
      <c r="G191" t="str" cm="1">
        <f t="array" ref="G191">_xlfn.IFS(
  F191 &gt;= 90, "Key Opinion Leader",
  F191 &gt;= 70, "High Value",
  F191 &gt;= 30, "Standard",
  TRUE, "Low Engagement"
)</f>
        <v>Low Engagement</v>
      </c>
    </row>
    <row r="192" spans="1:7">
      <c r="A192" s="1">
        <v>44</v>
      </c>
      <c r="B192" s="1" t="s">
        <v>230</v>
      </c>
      <c r="C192" s="1" t="s">
        <v>49</v>
      </c>
      <c r="D192" s="1">
        <v>214</v>
      </c>
      <c r="E192" s="20">
        <v>54892046</v>
      </c>
      <c r="F192">
        <f t="shared" si="2"/>
        <v>4.5</v>
      </c>
      <c r="G192" t="str" cm="1">
        <f t="array" ref="G192">_xlfn.IFS(
  F192 &gt;= 90, "Key Opinion Leader",
  F192 &gt;= 70, "High Value",
  F192 &gt;= 30, "Standard",
  TRUE, "Low Engagement"
)</f>
        <v>Low Engagement</v>
      </c>
    </row>
    <row r="193" spans="1:7">
      <c r="A193" s="1">
        <v>12</v>
      </c>
      <c r="B193" s="1" t="s">
        <v>231</v>
      </c>
      <c r="C193" s="1" t="s">
        <v>47</v>
      </c>
      <c r="D193" s="1">
        <v>228</v>
      </c>
      <c r="E193" s="20">
        <v>54446092</v>
      </c>
      <c r="F193">
        <f t="shared" si="2"/>
        <v>4</v>
      </c>
      <c r="G193" t="str" cm="1">
        <f t="array" ref="G193">_xlfn.IFS(
  F193 &gt;= 90, "Key Opinion Leader",
  F193 &gt;= 70, "High Value",
  F193 &gt;= 30, "Standard",
  TRUE, "Low Engagement"
)</f>
        <v>Low Engagement</v>
      </c>
    </row>
    <row r="194" spans="1:7">
      <c r="A194" s="1">
        <v>170</v>
      </c>
      <c r="B194" s="1" t="s">
        <v>232</v>
      </c>
      <c r="C194" s="1" t="s">
        <v>42</v>
      </c>
      <c r="D194" s="1">
        <v>230</v>
      </c>
      <c r="E194" s="20">
        <v>54262896</v>
      </c>
      <c r="F194">
        <f t="shared" si="2"/>
        <v>3.5</v>
      </c>
      <c r="G194" t="str" cm="1">
        <f t="array" ref="G194">_xlfn.IFS(
  F194 &gt;= 90, "Key Opinion Leader",
  F194 &gt;= 70, "High Value",
  F194 &gt;= 30, "Standard",
  TRUE, "Low Engagement"
)</f>
        <v>Low Engagement</v>
      </c>
    </row>
    <row r="195" spans="1:7">
      <c r="A195" s="1">
        <v>169</v>
      </c>
      <c r="B195" s="1" t="s">
        <v>233</v>
      </c>
      <c r="C195" s="1" t="s">
        <v>38</v>
      </c>
      <c r="D195" s="1">
        <v>229</v>
      </c>
      <c r="E195" s="20">
        <v>54162674</v>
      </c>
      <c r="F195">
        <f t="shared" ref="F195:F201" si="3">ROUND(_xlfn.PERCENTRANK.INC($E$2:$E$201, E195) * 100, 1)</f>
        <v>3</v>
      </c>
      <c r="G195" t="str" cm="1">
        <f t="array" ref="G195">_xlfn.IFS(
  F195 &gt;= 90, "Key Opinion Leader",
  F195 &gt;= 70, "High Value",
  F195 &gt;= 30, "Standard",
  TRUE, "Low Engagement"
)</f>
        <v>Low Engagement</v>
      </c>
    </row>
    <row r="196" spans="1:7">
      <c r="A196" s="1">
        <v>162</v>
      </c>
      <c r="B196" s="1" t="s">
        <v>234</v>
      </c>
      <c r="C196" s="1" t="s">
        <v>38</v>
      </c>
      <c r="D196" s="1">
        <v>236</v>
      </c>
      <c r="E196" s="20">
        <v>54152184</v>
      </c>
      <c r="F196">
        <f t="shared" si="3"/>
        <v>2.5</v>
      </c>
      <c r="G196" t="str" cm="1">
        <f t="array" ref="G196">_xlfn.IFS(
  F196 &gt;= 90, "Key Opinion Leader",
  F196 &gt;= 70, "High Value",
  F196 &gt;= 30, "Standard",
  TRUE, "Low Engagement"
)</f>
        <v>Low Engagement</v>
      </c>
    </row>
    <row r="197" spans="1:7">
      <c r="A197" s="1">
        <v>123</v>
      </c>
      <c r="B197" s="1" t="s">
        <v>235</v>
      </c>
      <c r="C197" s="1" t="s">
        <v>49</v>
      </c>
      <c r="D197" s="1">
        <v>216</v>
      </c>
      <c r="E197" s="20">
        <v>53543236</v>
      </c>
      <c r="F197">
        <f t="shared" si="3"/>
        <v>2</v>
      </c>
      <c r="G197" t="str" cm="1">
        <f t="array" ref="G197">_xlfn.IFS(
  F197 &gt;= 90, "Key Opinion Leader",
  F197 &gt;= 70, "High Value",
  F197 &gt;= 30, "Standard",
  TRUE, "Low Engagement"
)</f>
        <v>Low Engagement</v>
      </c>
    </row>
    <row r="198" spans="1:7">
      <c r="A198" s="1">
        <v>64</v>
      </c>
      <c r="B198" s="1" t="s">
        <v>236</v>
      </c>
      <c r="C198" s="1" t="s">
        <v>47</v>
      </c>
      <c r="D198" s="1">
        <v>233</v>
      </c>
      <c r="E198" s="20">
        <v>53517327</v>
      </c>
      <c r="F198">
        <f t="shared" si="3"/>
        <v>1.5</v>
      </c>
      <c r="G198" t="str" cm="1">
        <f t="array" ref="G198">_xlfn.IFS(
  F198 &gt;= 90, "Key Opinion Leader",
  F198 &gt;= 70, "High Value",
  F198 &gt;= 30, "Standard",
  TRUE, "Low Engagement"
)</f>
        <v>Low Engagement</v>
      </c>
    </row>
    <row r="199" spans="1:7">
      <c r="A199" s="1">
        <v>83</v>
      </c>
      <c r="B199" s="1" t="s">
        <v>237</v>
      </c>
      <c r="C199" s="1" t="s">
        <v>47</v>
      </c>
      <c r="D199" s="1">
        <v>218</v>
      </c>
      <c r="E199" s="20">
        <v>53474705</v>
      </c>
      <c r="F199">
        <f t="shared" si="3"/>
        <v>1</v>
      </c>
      <c r="G199" t="str" cm="1">
        <f t="array" ref="G199">_xlfn.IFS(
  F199 &gt;= 90, "Key Opinion Leader",
  F199 &gt;= 70, "High Value",
  F199 &gt;= 30, "Standard",
  TRUE, "Low Engagement"
)</f>
        <v>Low Engagement</v>
      </c>
    </row>
    <row r="200" spans="1:7">
      <c r="A200" s="1">
        <v>146</v>
      </c>
      <c r="B200" s="1" t="s">
        <v>238</v>
      </c>
      <c r="C200" s="1" t="s">
        <v>36</v>
      </c>
      <c r="D200" s="1">
        <v>212</v>
      </c>
      <c r="E200" s="20">
        <v>50930910</v>
      </c>
      <c r="F200">
        <f t="shared" si="3"/>
        <v>0.5</v>
      </c>
      <c r="G200" t="str" cm="1">
        <f t="array" ref="G200">_xlfn.IFS(
  F200 &gt;= 90, "Key Opinion Leader",
  F200 &gt;= 70, "High Value",
  F200 &gt;= 30, "Standard",
  TRUE, "Low Engagement"
)</f>
        <v>Low Engagement</v>
      </c>
    </row>
    <row r="201" spans="1:7">
      <c r="A201" s="1">
        <v>100</v>
      </c>
      <c r="B201" s="1" t="s">
        <v>239</v>
      </c>
      <c r="C201" s="1" t="s">
        <v>36</v>
      </c>
      <c r="D201" s="1">
        <v>211</v>
      </c>
      <c r="E201" s="20">
        <v>49460876</v>
      </c>
      <c r="F201">
        <f t="shared" si="3"/>
        <v>0</v>
      </c>
      <c r="G201" t="str" cm="1">
        <f t="array" ref="G201">_xlfn.IFS(
  F201 &gt;= 90, "Key Opinion Leader",
  F201 &gt;= 70, "High Value",
  F201 &gt;= 30, "Standard",
  TRUE, "Low Engagement"
)</f>
        <v>Low Engagement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1D03-37A1-40B7-8011-B4F0D8CE5908}">
  <dimension ref="A1:B11"/>
  <sheetViews>
    <sheetView showGridLines="0" workbookViewId="0">
      <selection activeCell="Q12" sqref="Q12"/>
    </sheetView>
  </sheetViews>
  <sheetFormatPr defaultRowHeight="15"/>
  <cols>
    <col min="1" max="1" width="16.7109375" bestFit="1" customWidth="1"/>
    <col min="2" max="2" width="21.5703125" bestFit="1" customWidth="1"/>
  </cols>
  <sheetData>
    <row r="1" spans="1:2">
      <c r="A1" s="2" t="s">
        <v>5</v>
      </c>
      <c r="B1" t="s">
        <v>8</v>
      </c>
    </row>
    <row r="3" spans="1:2">
      <c r="A3" s="2" t="s">
        <v>31</v>
      </c>
      <c r="B3" t="s">
        <v>6</v>
      </c>
    </row>
    <row r="4" spans="1:2">
      <c r="A4" t="s">
        <v>47</v>
      </c>
      <c r="B4" s="3">
        <v>3</v>
      </c>
    </row>
    <row r="5" spans="1:2">
      <c r="A5" t="s">
        <v>60</v>
      </c>
      <c r="B5" s="3">
        <v>1</v>
      </c>
    </row>
    <row r="6" spans="1:2">
      <c r="A6" t="s">
        <v>42</v>
      </c>
      <c r="B6" s="3">
        <v>5</v>
      </c>
    </row>
    <row r="7" spans="1:2">
      <c r="A7" t="s">
        <v>38</v>
      </c>
      <c r="B7" s="3">
        <v>5</v>
      </c>
    </row>
    <row r="8" spans="1:2">
      <c r="A8" t="s">
        <v>51</v>
      </c>
      <c r="B8" s="3">
        <v>2</v>
      </c>
    </row>
    <row r="9" spans="1:2">
      <c r="A9" t="s">
        <v>49</v>
      </c>
      <c r="B9" s="3">
        <v>2</v>
      </c>
    </row>
    <row r="10" spans="1:2">
      <c r="A10" t="s">
        <v>36</v>
      </c>
      <c r="B10" s="3">
        <v>2</v>
      </c>
    </row>
    <row r="11" spans="1:2">
      <c r="A11" t="s">
        <v>11</v>
      </c>
      <c r="B11" s="3">
        <v>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515F-91EB-4CC4-A7D0-F009C0C71CE4}">
  <dimension ref="A3:C8"/>
  <sheetViews>
    <sheetView showGridLines="0" workbookViewId="0">
      <selection activeCell="Q11" sqref="Q11"/>
    </sheetView>
  </sheetViews>
  <sheetFormatPr defaultRowHeight="15"/>
  <cols>
    <col min="1" max="1" width="20.140625" bestFit="1" customWidth="1"/>
    <col min="2" max="2" width="20.85546875" style="14" bestFit="1" customWidth="1"/>
    <col min="3" max="3" width="14.7109375" bestFit="1" customWidth="1"/>
  </cols>
  <sheetData>
    <row r="3" spans="1:3">
      <c r="A3" s="2" t="s">
        <v>240</v>
      </c>
      <c r="B3" s="14" t="s">
        <v>241</v>
      </c>
      <c r="C3" t="s">
        <v>242</v>
      </c>
    </row>
    <row r="4" spans="1:3">
      <c r="A4" t="s">
        <v>243</v>
      </c>
      <c r="B4" s="14">
        <v>28940000</v>
      </c>
      <c r="C4" s="3">
        <v>6</v>
      </c>
    </row>
    <row r="5" spans="1:3">
      <c r="A5" t="s">
        <v>244</v>
      </c>
      <c r="B5" s="14">
        <v>234480000</v>
      </c>
      <c r="C5" s="3">
        <v>15</v>
      </c>
    </row>
    <row r="6" spans="1:3">
      <c r="A6" t="s">
        <v>245</v>
      </c>
      <c r="B6" s="14">
        <v>323760000</v>
      </c>
      <c r="C6" s="3">
        <v>15</v>
      </c>
    </row>
    <row r="7" spans="1:3">
      <c r="A7" t="s">
        <v>246</v>
      </c>
      <c r="B7" s="14">
        <v>140320000</v>
      </c>
      <c r="C7" s="3">
        <v>14</v>
      </c>
    </row>
    <row r="8" spans="1:3">
      <c r="A8" t="s">
        <v>11</v>
      </c>
      <c r="B8" s="14">
        <v>727500000</v>
      </c>
      <c r="C8" s="3">
        <v>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5502-E249-4888-9AF6-37BC3CC7E0F8}">
  <dimension ref="A1:E3"/>
  <sheetViews>
    <sheetView workbookViewId="0">
      <selection activeCell="D14" sqref="D14"/>
    </sheetView>
  </sheetViews>
  <sheetFormatPr defaultRowHeight="15"/>
  <cols>
    <col min="1" max="2" width="35" customWidth="1"/>
    <col min="3" max="3" width="47" customWidth="1"/>
    <col min="4" max="4" width="25.5703125" customWidth="1"/>
    <col min="5" max="5" width="26.7109375" customWidth="1"/>
  </cols>
  <sheetData>
    <row r="1" spans="1:5" s="5" customFormat="1" ht="18.7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s="6" customFormat="1" ht="58.5" customHeight="1">
      <c r="A2" s="12">
        <f>SUM(Data_Source!E2:E51)</f>
        <v>12910000000</v>
      </c>
      <c r="B2" s="12">
        <f>SUM(Data_Source!H2:H51)</f>
        <v>727500000</v>
      </c>
      <c r="C2" s="11" t="str">
        <f>INDEX(Data_Source!B2:B51, MATCH(MAX(Data_Source!E2:E51), Data_Source!E2:E51, 0))</f>
        <v>Sean Fisher DVM</v>
      </c>
      <c r="D2" s="11">
        <f>COUNTIF(Doctor_Segmentation!G2:G201, "Key Opinion Leader")</f>
        <v>20</v>
      </c>
      <c r="E2" s="19">
        <f>ROUND(SUM(Territory_Performance!B2:B7)/SUM(Territory_Performance!C2:C7),3)</f>
        <v>0.90200000000000002</v>
      </c>
    </row>
    <row r="3" spans="1:5" s="6" customFormat="1" ht="31.5">
      <c r="A3" s="8"/>
      <c r="B3" s="8"/>
      <c r="C3" s="13">
        <f>MAX(Data_Source!E2:E51)</f>
        <v>275000000</v>
      </c>
      <c r="D3" s="8"/>
      <c r="E3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opLeftCell="B1" workbookViewId="0">
      <selection activeCell="L6" sqref="L6"/>
    </sheetView>
  </sheetViews>
  <sheetFormatPr defaultRowHeight="15"/>
  <cols>
    <col min="1" max="1" width="10.85546875" customWidth="1"/>
    <col min="2" max="2" width="20.5703125" customWidth="1"/>
    <col min="3" max="3" width="16.5703125" customWidth="1"/>
    <col min="4" max="4" width="12.42578125" customWidth="1"/>
    <col min="5" max="5" width="25.42578125" style="16" customWidth="1"/>
    <col min="6" max="6" width="15.28515625" customWidth="1"/>
    <col min="7" max="7" width="17.85546875" customWidth="1"/>
    <col min="8" max="8" width="18" style="17" customWidth="1"/>
    <col min="11" max="11" width="13.140625" customWidth="1"/>
  </cols>
  <sheetData>
    <row r="1" spans="1:11">
      <c r="A1" s="1" t="s">
        <v>247</v>
      </c>
      <c r="B1" s="1" t="s">
        <v>248</v>
      </c>
      <c r="C1" s="1" t="s">
        <v>18</v>
      </c>
      <c r="D1" s="1" t="s">
        <v>249</v>
      </c>
      <c r="E1" s="15" t="s">
        <v>33</v>
      </c>
      <c r="F1" s="1" t="s">
        <v>250</v>
      </c>
      <c r="G1" t="s">
        <v>240</v>
      </c>
      <c r="H1" s="17" t="s">
        <v>251</v>
      </c>
      <c r="J1" t="s">
        <v>252</v>
      </c>
      <c r="K1" t="s">
        <v>253</v>
      </c>
    </row>
    <row r="2" spans="1:11">
      <c r="A2" s="1">
        <v>7</v>
      </c>
      <c r="B2" s="1" t="s">
        <v>254</v>
      </c>
      <c r="C2" s="1" t="s">
        <v>25</v>
      </c>
      <c r="D2" s="1">
        <v>1046</v>
      </c>
      <c r="E2" s="15">
        <v>275000000</v>
      </c>
      <c r="F2" s="1">
        <v>262823.90000000002</v>
      </c>
      <c r="G2" t="str" cm="1">
        <f t="array" ref="G2">_xlfn.IFS(
  E2 &lt; 247000000, "Bronze",
  E2 &lt; 256000000, "Silver",
  E2 &lt; 266000000, "Gold",
  TRUE, "Platinum"
)</f>
        <v>Platinum</v>
      </c>
      <c r="H2" s="17">
        <f>_xlfn.XLOOKUP(G2, $J$2:$J$5, $K$2:$K$5) * E2</f>
        <v>22000000</v>
      </c>
      <c r="J2" t="s">
        <v>255</v>
      </c>
      <c r="K2">
        <v>0.02</v>
      </c>
    </row>
    <row r="3" spans="1:11">
      <c r="A3" s="1">
        <v>50</v>
      </c>
      <c r="B3" s="1" t="s">
        <v>256</v>
      </c>
      <c r="C3" s="1" t="s">
        <v>23</v>
      </c>
      <c r="D3" s="1">
        <v>1035</v>
      </c>
      <c r="E3" s="15">
        <v>274000000</v>
      </c>
      <c r="F3" s="1">
        <v>264702.40000000002</v>
      </c>
      <c r="G3" t="str" cm="1">
        <f t="array" ref="G3">_xlfn.IFS(
  E3 &lt; 247000000, "Bronze",
  E3 &lt; 256000000, "Silver",
  E3 &lt; 266000000, "Gold",
  TRUE, "Platinum"
)</f>
        <v>Platinum</v>
      </c>
      <c r="H3" s="17">
        <f t="shared" ref="H3:H51" si="0">_xlfn.XLOOKUP(G3, $J$2:$J$5, $K$2:$K$5) * E3</f>
        <v>21920000</v>
      </c>
      <c r="J3" t="s">
        <v>257</v>
      </c>
      <c r="K3">
        <v>0.04</v>
      </c>
    </row>
    <row r="4" spans="1:11">
      <c r="A4" s="1">
        <v>11</v>
      </c>
      <c r="B4" s="1" t="s">
        <v>258</v>
      </c>
      <c r="C4" s="1" t="s">
        <v>23</v>
      </c>
      <c r="D4" s="1">
        <v>1005</v>
      </c>
      <c r="E4" s="15">
        <v>273000000</v>
      </c>
      <c r="F4" s="1">
        <v>271447.90000000002</v>
      </c>
      <c r="G4" t="str" cm="1">
        <f t="array" ref="G4">_xlfn.IFS(
  E4 &lt; 247000000, "Bronze",
  E4 &lt; 256000000, "Silver",
  E4 &lt; 266000000, "Gold",
  TRUE, "Platinum"
)</f>
        <v>Platinum</v>
      </c>
      <c r="H4" s="17">
        <f t="shared" si="0"/>
        <v>21840000</v>
      </c>
      <c r="J4" t="s">
        <v>259</v>
      </c>
      <c r="K4">
        <v>0.06</v>
      </c>
    </row>
    <row r="5" spans="1:11">
      <c r="A5" s="1">
        <v>49</v>
      </c>
      <c r="B5" s="1" t="s">
        <v>260</v>
      </c>
      <c r="C5" s="1" t="s">
        <v>25</v>
      </c>
      <c r="D5" s="1">
        <v>1020</v>
      </c>
      <c r="E5" s="15">
        <v>272000000</v>
      </c>
      <c r="F5" s="1">
        <v>266970.8</v>
      </c>
      <c r="G5" t="str" cm="1">
        <f t="array" ref="G5">_xlfn.IFS(
  E5 &lt; 247000000, "Bronze",
  E5 &lt; 256000000, "Silver",
  E5 &lt; 266000000, "Gold",
  TRUE, "Platinum"
)</f>
        <v>Platinum</v>
      </c>
      <c r="H5" s="17">
        <f t="shared" si="0"/>
        <v>21760000</v>
      </c>
      <c r="J5" t="s">
        <v>261</v>
      </c>
      <c r="K5">
        <v>0.08</v>
      </c>
    </row>
    <row r="6" spans="1:11">
      <c r="A6" s="1">
        <v>31</v>
      </c>
      <c r="B6" s="1" t="s">
        <v>262</v>
      </c>
      <c r="C6" s="1" t="s">
        <v>24</v>
      </c>
      <c r="D6" s="1">
        <v>1034</v>
      </c>
      <c r="E6" s="15">
        <v>272000000</v>
      </c>
      <c r="F6" s="1">
        <v>262828.3</v>
      </c>
      <c r="G6" t="str" cm="1">
        <f t="array" ref="G6">_xlfn.IFS(
  E6 &lt; 247000000, "Bronze",
  E6 &lt; 256000000, "Silver",
  E6 &lt; 266000000, "Gold",
  TRUE, "Platinum"
)</f>
        <v>Platinum</v>
      </c>
      <c r="H6" s="17">
        <f t="shared" si="0"/>
        <v>21760000</v>
      </c>
    </row>
    <row r="7" spans="1:11">
      <c r="A7" s="1">
        <v>35</v>
      </c>
      <c r="B7" s="1" t="s">
        <v>263</v>
      </c>
      <c r="C7" s="1" t="s">
        <v>23</v>
      </c>
      <c r="D7" s="1">
        <v>1051</v>
      </c>
      <c r="E7" s="15">
        <v>270000000</v>
      </c>
      <c r="F7" s="1">
        <v>257258.5</v>
      </c>
      <c r="G7" t="str" cm="1">
        <f t="array" ref="G7">_xlfn.IFS(
  E7 &lt; 247000000, "Bronze",
  E7 &lt; 256000000, "Silver",
  E7 &lt; 266000000, "Gold",
  TRUE, "Platinum"
)</f>
        <v>Platinum</v>
      </c>
      <c r="H7" s="17">
        <f t="shared" si="0"/>
        <v>21600000</v>
      </c>
    </row>
    <row r="8" spans="1:11">
      <c r="A8" s="1">
        <v>34</v>
      </c>
      <c r="B8" s="1" t="s">
        <v>264</v>
      </c>
      <c r="C8" s="1" t="s">
        <v>23</v>
      </c>
      <c r="D8" s="1">
        <v>1012</v>
      </c>
      <c r="E8" s="15">
        <v>270000000</v>
      </c>
      <c r="F8" s="1">
        <v>267039.7</v>
      </c>
      <c r="G8" t="str" cm="1">
        <f t="array" ref="G8">_xlfn.IFS(
  E8 &lt; 247000000, "Bronze",
  E8 &lt; 256000000, "Silver",
  E8 &lt; 266000000, "Gold",
  TRUE, "Platinum"
)</f>
        <v>Platinum</v>
      </c>
      <c r="H8" s="17">
        <f t="shared" si="0"/>
        <v>21600000</v>
      </c>
    </row>
    <row r="9" spans="1:11">
      <c r="A9" s="1">
        <v>12</v>
      </c>
      <c r="B9" s="1" t="s">
        <v>265</v>
      </c>
      <c r="C9" s="1" t="s">
        <v>24</v>
      </c>
      <c r="D9" s="1">
        <v>1053</v>
      </c>
      <c r="E9" s="15">
        <v>270000000</v>
      </c>
      <c r="F9" s="1">
        <v>256136</v>
      </c>
      <c r="G9" t="str" cm="1">
        <f t="array" ref="G9">_xlfn.IFS(
  E9 &lt; 247000000, "Bronze",
  E9 &lt; 256000000, "Silver",
  E9 &lt; 266000000, "Gold",
  TRUE, "Platinum"
)</f>
        <v>Platinum</v>
      </c>
      <c r="H9" s="17">
        <f t="shared" si="0"/>
        <v>21600000</v>
      </c>
    </row>
    <row r="10" spans="1:11">
      <c r="A10" s="1">
        <v>45</v>
      </c>
      <c r="B10" s="1" t="s">
        <v>266</v>
      </c>
      <c r="C10" s="1" t="s">
        <v>28</v>
      </c>
      <c r="D10" s="1">
        <v>1047</v>
      </c>
      <c r="E10" s="15">
        <v>269000000</v>
      </c>
      <c r="F10" s="1">
        <v>256679.7</v>
      </c>
      <c r="G10" t="str" cm="1">
        <f t="array" ref="G10">_xlfn.IFS(
  E10 &lt; 247000000, "Bronze",
  E10 &lt; 256000000, "Silver",
  E10 &lt; 266000000, "Gold",
  TRUE, "Platinum"
)</f>
        <v>Platinum</v>
      </c>
      <c r="H10" s="17">
        <f t="shared" si="0"/>
        <v>21520000</v>
      </c>
    </row>
    <row r="11" spans="1:11">
      <c r="A11" s="1">
        <v>41</v>
      </c>
      <c r="B11" s="1" t="s">
        <v>267</v>
      </c>
      <c r="C11" s="1" t="s">
        <v>25</v>
      </c>
      <c r="D11" s="1">
        <v>1026</v>
      </c>
      <c r="E11" s="15">
        <v>268000000</v>
      </c>
      <c r="F11" s="1">
        <v>261208.9</v>
      </c>
      <c r="G11" t="str" cm="1">
        <f t="array" ref="G11">_xlfn.IFS(
  E11 &lt; 247000000, "Bronze",
  E11 &lt; 256000000, "Silver",
  E11 &lt; 266000000, "Gold",
  TRUE, "Platinum"
)</f>
        <v>Platinum</v>
      </c>
      <c r="H11" s="17">
        <f t="shared" si="0"/>
        <v>21440000</v>
      </c>
    </row>
    <row r="12" spans="1:11">
      <c r="A12" s="1">
        <v>39</v>
      </c>
      <c r="B12" s="1" t="s">
        <v>268</v>
      </c>
      <c r="C12" s="1" t="s">
        <v>25</v>
      </c>
      <c r="D12" s="1">
        <v>1001</v>
      </c>
      <c r="E12" s="15">
        <v>267000000</v>
      </c>
      <c r="F12" s="1">
        <v>267145.5</v>
      </c>
      <c r="G12" t="str" cm="1">
        <f t="array" ref="G12">_xlfn.IFS(
  E12 &lt; 247000000, "Bronze",
  E12 &lt; 256000000, "Silver",
  E12 &lt; 266000000, "Gold",
  TRUE, "Platinum"
)</f>
        <v>Platinum</v>
      </c>
      <c r="H12" s="17">
        <f t="shared" si="0"/>
        <v>21360000</v>
      </c>
    </row>
    <row r="13" spans="1:11">
      <c r="A13" s="1">
        <v>43</v>
      </c>
      <c r="B13" s="1" t="s">
        <v>269</v>
      </c>
      <c r="C13" s="1" t="s">
        <v>28</v>
      </c>
      <c r="D13" s="1">
        <v>1042</v>
      </c>
      <c r="E13" s="15">
        <v>267000000</v>
      </c>
      <c r="F13" s="1">
        <v>256560.1</v>
      </c>
      <c r="G13" t="str" cm="1">
        <f t="array" ref="G13">_xlfn.IFS(
  E13 &lt; 247000000, "Bronze",
  E13 &lt; 256000000, "Silver",
  E13 &lt; 266000000, "Gold",
  TRUE, "Platinum"
)</f>
        <v>Platinum</v>
      </c>
      <c r="H13" s="17">
        <f t="shared" si="0"/>
        <v>21360000</v>
      </c>
    </row>
    <row r="14" spans="1:11">
      <c r="A14" s="1">
        <v>22</v>
      </c>
      <c r="B14" s="1" t="s">
        <v>270</v>
      </c>
      <c r="C14" s="1" t="s">
        <v>24</v>
      </c>
      <c r="D14" s="1">
        <v>1011</v>
      </c>
      <c r="E14" s="15">
        <v>267000000</v>
      </c>
      <c r="F14" s="1">
        <v>264167.7</v>
      </c>
      <c r="G14" t="str" cm="1">
        <f t="array" ref="G14">_xlfn.IFS(
  E14 &lt; 247000000, "Bronze",
  E14 &lt; 256000000, "Silver",
  E14 &lt; 266000000, "Gold",
  TRUE, "Platinum"
)</f>
        <v>Platinum</v>
      </c>
      <c r="H14" s="17">
        <f t="shared" si="0"/>
        <v>21360000</v>
      </c>
    </row>
    <row r="15" spans="1:11">
      <c r="A15" s="1">
        <v>8</v>
      </c>
      <c r="B15" s="1" t="s">
        <v>271</v>
      </c>
      <c r="C15" s="1" t="s">
        <v>25</v>
      </c>
      <c r="D15" s="1">
        <v>1020</v>
      </c>
      <c r="E15" s="15">
        <v>267000000</v>
      </c>
      <c r="F15" s="1">
        <v>261740.2</v>
      </c>
      <c r="G15" t="str" cm="1">
        <f t="array" ref="G15">_xlfn.IFS(
  E15 &lt; 247000000, "Bronze",
  E15 &lt; 256000000, "Silver",
  E15 &lt; 266000000, "Gold",
  TRUE, "Platinum"
)</f>
        <v>Platinum</v>
      </c>
      <c r="H15" s="17">
        <f t="shared" si="0"/>
        <v>21360000</v>
      </c>
    </row>
    <row r="16" spans="1:11">
      <c r="A16" s="1">
        <v>30</v>
      </c>
      <c r="B16" s="1" t="s">
        <v>272</v>
      </c>
      <c r="C16" s="1" t="s">
        <v>25</v>
      </c>
      <c r="D16" s="1">
        <v>1039</v>
      </c>
      <c r="E16" s="15">
        <v>266000000</v>
      </c>
      <c r="F16" s="1">
        <v>256008.8</v>
      </c>
      <c r="G16" t="str" cm="1">
        <f t="array" ref="G16">_xlfn.IFS(
  E16 &lt; 247000000, "Bronze",
  E16 &lt; 256000000, "Silver",
  E16 &lt; 266000000, "Gold",
  TRUE, "Platinum"
)</f>
        <v>Platinum</v>
      </c>
      <c r="H16" s="17">
        <f t="shared" si="0"/>
        <v>21280000</v>
      </c>
    </row>
    <row r="17" spans="1:8">
      <c r="A17" s="1">
        <v>9</v>
      </c>
      <c r="B17" s="1" t="s">
        <v>273</v>
      </c>
      <c r="C17" s="1" t="s">
        <v>25</v>
      </c>
      <c r="D17" s="1">
        <v>1000</v>
      </c>
      <c r="E17" s="15">
        <v>265000000</v>
      </c>
      <c r="F17" s="1">
        <v>264635.7</v>
      </c>
      <c r="G17" t="str" cm="1">
        <f t="array" ref="G17">_xlfn.IFS(
  E17 &lt; 247000000, "Bronze",
  E17 &lt; 256000000, "Silver",
  E17 &lt; 266000000, "Gold",
  TRUE, "Platinum"
)</f>
        <v>Gold</v>
      </c>
      <c r="H17" s="17">
        <f t="shared" si="0"/>
        <v>15900000</v>
      </c>
    </row>
    <row r="18" spans="1:8">
      <c r="A18" s="1">
        <v>14</v>
      </c>
      <c r="B18" s="1" t="s">
        <v>274</v>
      </c>
      <c r="C18" s="1" t="s">
        <v>23</v>
      </c>
      <c r="D18" s="1">
        <v>1033</v>
      </c>
      <c r="E18" s="15">
        <v>265000000</v>
      </c>
      <c r="F18" s="1">
        <v>256112.2</v>
      </c>
      <c r="G18" t="str" cm="1">
        <f t="array" ref="G18">_xlfn.IFS(
  E18 &lt; 247000000, "Bronze",
  E18 &lt; 256000000, "Silver",
  E18 &lt; 266000000, "Gold",
  TRUE, "Platinum"
)</f>
        <v>Gold</v>
      </c>
      <c r="H18" s="17">
        <f t="shared" si="0"/>
        <v>15900000</v>
      </c>
    </row>
    <row r="19" spans="1:8">
      <c r="A19" s="1">
        <v>1</v>
      </c>
      <c r="B19" s="1" t="s">
        <v>275</v>
      </c>
      <c r="C19" s="1" t="s">
        <v>27</v>
      </c>
      <c r="D19" s="1">
        <v>1028</v>
      </c>
      <c r="E19" s="15">
        <v>265000000</v>
      </c>
      <c r="F19" s="1">
        <v>257300</v>
      </c>
      <c r="G19" t="str" cm="1">
        <f t="array" ref="G19">_xlfn.IFS(
  E19 &lt; 247000000, "Bronze",
  E19 &lt; 256000000, "Silver",
  E19 &lt; 266000000, "Gold",
  TRUE, "Platinum"
)</f>
        <v>Gold</v>
      </c>
      <c r="H19" s="17">
        <f t="shared" si="0"/>
        <v>15900000</v>
      </c>
    </row>
    <row r="20" spans="1:8">
      <c r="A20" s="1">
        <v>16</v>
      </c>
      <c r="B20" s="1" t="s">
        <v>276</v>
      </c>
      <c r="C20" s="1" t="s">
        <v>25</v>
      </c>
      <c r="D20" s="1">
        <v>1047</v>
      </c>
      <c r="E20" s="15">
        <v>264000000</v>
      </c>
      <c r="F20" s="1">
        <v>252237.6</v>
      </c>
      <c r="G20" t="str" cm="1">
        <f t="array" ref="G20">_xlfn.IFS(
  E20 &lt; 247000000, "Bronze",
  E20 &lt; 256000000, "Silver",
  E20 &lt; 266000000, "Gold",
  TRUE, "Platinum"
)</f>
        <v>Gold</v>
      </c>
      <c r="H20" s="17">
        <f t="shared" si="0"/>
        <v>15840000</v>
      </c>
    </row>
    <row r="21" spans="1:8">
      <c r="A21" s="1">
        <v>46</v>
      </c>
      <c r="B21" s="1" t="s">
        <v>277</v>
      </c>
      <c r="C21" s="1" t="s">
        <v>27</v>
      </c>
      <c r="D21" s="1">
        <v>1000</v>
      </c>
      <c r="E21" s="15">
        <v>263000000</v>
      </c>
      <c r="F21" s="1">
        <v>262922.09999999998</v>
      </c>
      <c r="G21" t="str" cm="1">
        <f t="array" ref="G21">_xlfn.IFS(
  E21 &lt; 247000000, "Bronze",
  E21 &lt; 256000000, "Silver",
  E21 &lt; 266000000, "Gold",
  TRUE, "Platinum"
)</f>
        <v>Gold</v>
      </c>
      <c r="H21" s="17">
        <f t="shared" si="0"/>
        <v>15780000</v>
      </c>
    </row>
    <row r="22" spans="1:8">
      <c r="A22" s="1">
        <v>28</v>
      </c>
      <c r="B22" s="1" t="s">
        <v>278</v>
      </c>
      <c r="C22" s="1" t="s">
        <v>26</v>
      </c>
      <c r="D22" s="1">
        <v>1004</v>
      </c>
      <c r="E22" s="15">
        <v>263000000</v>
      </c>
      <c r="F22" s="1">
        <v>261803.6</v>
      </c>
      <c r="G22" t="str" cm="1">
        <f t="array" ref="G22">_xlfn.IFS(
  E22 &lt; 247000000, "Bronze",
  E22 &lt; 256000000, "Silver",
  E22 &lt; 266000000, "Gold",
  TRUE, "Platinum"
)</f>
        <v>Gold</v>
      </c>
      <c r="H22" s="17">
        <f t="shared" si="0"/>
        <v>15780000</v>
      </c>
    </row>
    <row r="23" spans="1:8">
      <c r="A23" s="1">
        <v>4</v>
      </c>
      <c r="B23" s="1" t="s">
        <v>279</v>
      </c>
      <c r="C23" s="1" t="s">
        <v>23</v>
      </c>
      <c r="D23" s="1">
        <v>998</v>
      </c>
      <c r="E23" s="15">
        <v>261000000</v>
      </c>
      <c r="F23" s="1">
        <v>261511.6</v>
      </c>
      <c r="G23" t="str" cm="1">
        <f t="array" ref="G23">_xlfn.IFS(
  E23 &lt; 247000000, "Bronze",
  E23 &lt; 256000000, "Silver",
  E23 &lt; 266000000, "Gold",
  TRUE, "Platinum"
)</f>
        <v>Gold</v>
      </c>
      <c r="H23" s="17">
        <f t="shared" si="0"/>
        <v>15660000</v>
      </c>
    </row>
    <row r="24" spans="1:8">
      <c r="A24" s="1">
        <v>13</v>
      </c>
      <c r="B24" s="1" t="s">
        <v>280</v>
      </c>
      <c r="C24" s="1" t="s">
        <v>27</v>
      </c>
      <c r="D24" s="1">
        <v>984</v>
      </c>
      <c r="E24" s="15">
        <v>260000000</v>
      </c>
      <c r="F24" s="1">
        <v>263887.2</v>
      </c>
      <c r="G24" t="str" cm="1">
        <f t="array" ref="G24">_xlfn.IFS(
  E24 &lt; 247000000, "Bronze",
  E24 &lt; 256000000, "Silver",
  E24 &lt; 266000000, "Gold",
  TRUE, "Platinum"
)</f>
        <v>Gold</v>
      </c>
      <c r="H24" s="17">
        <f t="shared" si="0"/>
        <v>15600000</v>
      </c>
    </row>
    <row r="25" spans="1:8">
      <c r="A25" s="1">
        <v>24</v>
      </c>
      <c r="B25" s="1" t="s">
        <v>281</v>
      </c>
      <c r="C25" s="1" t="s">
        <v>25</v>
      </c>
      <c r="D25" s="1">
        <v>1012</v>
      </c>
      <c r="E25" s="15">
        <v>259000000</v>
      </c>
      <c r="F25" s="1">
        <v>255866.4</v>
      </c>
      <c r="G25" t="str" cm="1">
        <f t="array" ref="G25">_xlfn.IFS(
  E25 &lt; 247000000, "Bronze",
  E25 &lt; 256000000, "Silver",
  E25 &lt; 266000000, "Gold",
  TRUE, "Platinum"
)</f>
        <v>Gold</v>
      </c>
      <c r="H25" s="17">
        <f t="shared" si="0"/>
        <v>15540000</v>
      </c>
    </row>
    <row r="26" spans="1:8">
      <c r="A26" s="1">
        <v>40</v>
      </c>
      <c r="B26" s="1" t="s">
        <v>282</v>
      </c>
      <c r="C26" s="1" t="s">
        <v>27</v>
      </c>
      <c r="D26" s="1">
        <v>1001</v>
      </c>
      <c r="E26" s="15">
        <v>258000000</v>
      </c>
      <c r="F26" s="1">
        <v>258074.9</v>
      </c>
      <c r="G26" t="str" cm="1">
        <f t="array" ref="G26">_xlfn.IFS(
  E26 &lt; 247000000, "Bronze",
  E26 &lt; 256000000, "Silver",
  E26 &lt; 266000000, "Gold",
  TRUE, "Platinum"
)</f>
        <v>Gold</v>
      </c>
      <c r="H26" s="17">
        <f t="shared" si="0"/>
        <v>15480000</v>
      </c>
    </row>
    <row r="27" spans="1:8">
      <c r="A27" s="1">
        <v>42</v>
      </c>
      <c r="B27" s="1" t="s">
        <v>283</v>
      </c>
      <c r="C27" s="1" t="s">
        <v>27</v>
      </c>
      <c r="D27" s="1">
        <v>988</v>
      </c>
      <c r="E27" s="15">
        <v>258000000</v>
      </c>
      <c r="F27" s="1">
        <v>261150.6</v>
      </c>
      <c r="G27" t="str" cm="1">
        <f t="array" ref="G27">_xlfn.IFS(
  E27 &lt; 247000000, "Bronze",
  E27 &lt; 256000000, "Silver",
  E27 &lt; 266000000, "Gold",
  TRUE, "Platinum"
)</f>
        <v>Gold</v>
      </c>
      <c r="H27" s="17">
        <f t="shared" si="0"/>
        <v>15480000</v>
      </c>
    </row>
    <row r="28" spans="1:8">
      <c r="A28" s="1">
        <v>32</v>
      </c>
      <c r="B28" s="1" t="s">
        <v>284</v>
      </c>
      <c r="C28" s="1" t="s">
        <v>26</v>
      </c>
      <c r="D28" s="1">
        <v>1042</v>
      </c>
      <c r="E28" s="15">
        <v>258000000</v>
      </c>
      <c r="F28" s="1">
        <v>247216.6</v>
      </c>
      <c r="G28" t="str" cm="1">
        <f t="array" ref="G28">_xlfn.IFS(
  E28 &lt; 247000000, "Bronze",
  E28 &lt; 256000000, "Silver",
  E28 &lt; 266000000, "Gold",
  TRUE, "Platinum"
)</f>
        <v>Gold</v>
      </c>
      <c r="H28" s="17">
        <f t="shared" si="0"/>
        <v>15480000</v>
      </c>
    </row>
    <row r="29" spans="1:8">
      <c r="A29" s="1">
        <v>23</v>
      </c>
      <c r="B29" s="1" t="s">
        <v>285</v>
      </c>
      <c r="C29" s="1" t="s">
        <v>27</v>
      </c>
      <c r="D29" s="1">
        <v>1024</v>
      </c>
      <c r="E29" s="15">
        <v>257000000</v>
      </c>
      <c r="F29" s="1">
        <v>251045.5</v>
      </c>
      <c r="G29" t="str" cm="1">
        <f t="array" ref="G29">_xlfn.IFS(
  E29 &lt; 247000000, "Bronze",
  E29 &lt; 256000000, "Silver",
  E29 &lt; 266000000, "Gold",
  TRUE, "Platinum"
)</f>
        <v>Gold</v>
      </c>
      <c r="H29" s="17">
        <f t="shared" si="0"/>
        <v>15420000</v>
      </c>
    </row>
    <row r="30" spans="1:8">
      <c r="A30" s="1">
        <v>38</v>
      </c>
      <c r="B30" s="1" t="s">
        <v>286</v>
      </c>
      <c r="C30" s="1" t="s">
        <v>24</v>
      </c>
      <c r="D30" s="1">
        <v>988</v>
      </c>
      <c r="E30" s="15">
        <v>256000000</v>
      </c>
      <c r="F30" s="1">
        <v>259553.2</v>
      </c>
      <c r="G30" t="str" cm="1">
        <f t="array" ref="G30">_xlfn.IFS(
  E30 &lt; 247000000, "Bronze",
  E30 &lt; 256000000, "Silver",
  E30 &lt; 266000000, "Gold",
  TRUE, "Platinum"
)</f>
        <v>Gold</v>
      </c>
      <c r="H30" s="17">
        <f t="shared" si="0"/>
        <v>15360000</v>
      </c>
    </row>
    <row r="31" spans="1:8">
      <c r="A31" s="1">
        <v>47</v>
      </c>
      <c r="B31" s="1" t="s">
        <v>287</v>
      </c>
      <c r="C31" s="1" t="s">
        <v>26</v>
      </c>
      <c r="D31" s="1">
        <v>1024</v>
      </c>
      <c r="E31" s="15">
        <v>256000000</v>
      </c>
      <c r="F31" s="1">
        <v>249981</v>
      </c>
      <c r="G31" t="str" cm="1">
        <f t="array" ref="G31">_xlfn.IFS(
  E31 &lt; 247000000, "Bronze",
  E31 &lt; 256000000, "Silver",
  E31 &lt; 266000000, "Gold",
  TRUE, "Platinum"
)</f>
        <v>Gold</v>
      </c>
      <c r="H31" s="17">
        <f t="shared" si="0"/>
        <v>15360000</v>
      </c>
    </row>
    <row r="32" spans="1:8">
      <c r="A32" s="1">
        <v>25</v>
      </c>
      <c r="B32" s="1" t="s">
        <v>288</v>
      </c>
      <c r="C32" s="1" t="s">
        <v>24</v>
      </c>
      <c r="D32" s="1">
        <v>955</v>
      </c>
      <c r="E32" s="15">
        <v>254000000</v>
      </c>
      <c r="F32" s="1">
        <v>266487.7</v>
      </c>
      <c r="G32" t="str" cm="1">
        <f t="array" ref="G32">_xlfn.IFS(
  E32 &lt; 247000000, "Bronze",
  E32 &lt; 256000000, "Silver",
  E32 &lt; 266000000, "Gold",
  TRUE, "Platinum"
)</f>
        <v>Silver</v>
      </c>
      <c r="H32" s="17">
        <f t="shared" si="0"/>
        <v>10160000</v>
      </c>
    </row>
    <row r="33" spans="1:8">
      <c r="A33" s="1">
        <v>6</v>
      </c>
      <c r="B33" s="1" t="s">
        <v>289</v>
      </c>
      <c r="C33" s="1" t="s">
        <v>26</v>
      </c>
      <c r="D33" s="1">
        <v>997</v>
      </c>
      <c r="E33" s="15">
        <v>254000000</v>
      </c>
      <c r="F33" s="1">
        <v>255148.4</v>
      </c>
      <c r="G33" t="str" cm="1">
        <f t="array" ref="G33">_xlfn.IFS(
  E33 &lt; 247000000, "Bronze",
  E33 &lt; 256000000, "Silver",
  E33 &lt; 266000000, "Gold",
  TRUE, "Platinum"
)</f>
        <v>Silver</v>
      </c>
      <c r="H33" s="17">
        <f t="shared" si="0"/>
        <v>10160000</v>
      </c>
    </row>
    <row r="34" spans="1:8">
      <c r="A34" s="1">
        <v>21</v>
      </c>
      <c r="B34" s="1" t="s">
        <v>290</v>
      </c>
      <c r="C34" s="1" t="s">
        <v>27</v>
      </c>
      <c r="D34" s="1">
        <v>991</v>
      </c>
      <c r="E34" s="15">
        <v>254000000</v>
      </c>
      <c r="F34" s="1">
        <v>256524.9</v>
      </c>
      <c r="G34" t="str" cm="1">
        <f t="array" ref="G34">_xlfn.IFS(
  E34 &lt; 247000000, "Bronze",
  E34 &lt; 256000000, "Silver",
  E34 &lt; 266000000, "Gold",
  TRUE, "Platinum"
)</f>
        <v>Silver</v>
      </c>
      <c r="H34" s="17">
        <f t="shared" si="0"/>
        <v>10160000</v>
      </c>
    </row>
    <row r="35" spans="1:8">
      <c r="A35" s="1">
        <v>18</v>
      </c>
      <c r="B35" s="1" t="s">
        <v>291</v>
      </c>
      <c r="C35" s="1" t="s">
        <v>24</v>
      </c>
      <c r="D35" s="1">
        <v>989</v>
      </c>
      <c r="E35" s="15">
        <v>253000000</v>
      </c>
      <c r="F35" s="1">
        <v>255679.3</v>
      </c>
      <c r="G35" t="str" cm="1">
        <f t="array" ref="G35">_xlfn.IFS(
  E35 &lt; 247000000, "Bronze",
  E35 &lt; 256000000, "Silver",
  E35 &lt; 266000000, "Gold",
  TRUE, "Platinum"
)</f>
        <v>Silver</v>
      </c>
      <c r="H35" s="17">
        <f t="shared" si="0"/>
        <v>10120000</v>
      </c>
    </row>
    <row r="36" spans="1:8">
      <c r="A36" s="1">
        <v>20</v>
      </c>
      <c r="B36" s="1" t="s">
        <v>13</v>
      </c>
      <c r="C36" s="1" t="s">
        <v>25</v>
      </c>
      <c r="D36" s="1">
        <v>997</v>
      </c>
      <c r="E36" s="15">
        <v>252000000</v>
      </c>
      <c r="F36" s="1">
        <v>253166.8</v>
      </c>
      <c r="G36" t="str" cm="1">
        <f t="array" ref="G36">_xlfn.IFS(
  E36 &lt; 247000000, "Bronze",
  E36 &lt; 256000000, "Silver",
  E36 &lt; 266000000, "Gold",
  TRUE, "Platinum"
)</f>
        <v>Silver</v>
      </c>
      <c r="H36" s="17">
        <f t="shared" si="0"/>
        <v>10080000</v>
      </c>
    </row>
    <row r="37" spans="1:8">
      <c r="A37" s="1">
        <v>3</v>
      </c>
      <c r="B37" s="1" t="s">
        <v>292</v>
      </c>
      <c r="C37" s="1" t="s">
        <v>28</v>
      </c>
      <c r="D37" s="1">
        <v>989</v>
      </c>
      <c r="E37" s="15">
        <v>252000000</v>
      </c>
      <c r="F37" s="1">
        <v>254701.5</v>
      </c>
      <c r="G37" t="str" cm="1">
        <f t="array" ref="G37">_xlfn.IFS(
  E37 &lt; 247000000, "Bronze",
  E37 &lt; 256000000, "Silver",
  E37 &lt; 266000000, "Gold",
  TRUE, "Platinum"
)</f>
        <v>Silver</v>
      </c>
      <c r="H37" s="17">
        <f t="shared" si="0"/>
        <v>10080000</v>
      </c>
    </row>
    <row r="38" spans="1:8">
      <c r="A38" s="1">
        <v>10</v>
      </c>
      <c r="B38" s="1" t="s">
        <v>293</v>
      </c>
      <c r="C38" s="1" t="s">
        <v>24</v>
      </c>
      <c r="D38" s="1">
        <v>981</v>
      </c>
      <c r="E38" s="15">
        <v>250000000</v>
      </c>
      <c r="F38" s="1">
        <v>254821.6</v>
      </c>
      <c r="G38" t="str" cm="1">
        <f t="array" ref="G38">_xlfn.IFS(
  E38 &lt; 247000000, "Bronze",
  E38 &lt; 256000000, "Silver",
  E38 &lt; 266000000, "Gold",
  TRUE, "Platinum"
)</f>
        <v>Silver</v>
      </c>
      <c r="H38" s="17">
        <f t="shared" si="0"/>
        <v>10000000</v>
      </c>
    </row>
    <row r="39" spans="1:8">
      <c r="A39" s="1">
        <v>37</v>
      </c>
      <c r="B39" s="1" t="s">
        <v>294</v>
      </c>
      <c r="C39" s="1" t="s">
        <v>23</v>
      </c>
      <c r="D39" s="1">
        <v>988</v>
      </c>
      <c r="E39" s="15">
        <v>250000000</v>
      </c>
      <c r="F39" s="1">
        <v>252774.2</v>
      </c>
      <c r="G39" t="str" cm="1">
        <f t="array" ref="G39">_xlfn.IFS(
  E39 &lt; 247000000, "Bronze",
  E39 &lt; 256000000, "Silver",
  E39 &lt; 266000000, "Gold",
  TRUE, "Platinum"
)</f>
        <v>Silver</v>
      </c>
      <c r="H39" s="17">
        <f t="shared" si="0"/>
        <v>10000000</v>
      </c>
    </row>
    <row r="40" spans="1:8">
      <c r="A40" s="1">
        <v>33</v>
      </c>
      <c r="B40" s="1" t="s">
        <v>295</v>
      </c>
      <c r="C40" s="1" t="s">
        <v>23</v>
      </c>
      <c r="D40" s="1">
        <v>989</v>
      </c>
      <c r="E40" s="15">
        <v>250000000</v>
      </c>
      <c r="F40" s="1">
        <v>252345.5</v>
      </c>
      <c r="G40" t="str" cm="1">
        <f t="array" ref="G40">_xlfn.IFS(
  E40 &lt; 247000000, "Bronze",
  E40 &lt; 256000000, "Silver",
  E40 &lt; 266000000, "Gold",
  TRUE, "Platinum"
)</f>
        <v>Silver</v>
      </c>
      <c r="H40" s="17">
        <f t="shared" si="0"/>
        <v>10000000</v>
      </c>
    </row>
    <row r="41" spans="1:8">
      <c r="A41" s="1">
        <v>26</v>
      </c>
      <c r="B41" s="1" t="s">
        <v>296</v>
      </c>
      <c r="C41" s="1" t="s">
        <v>28</v>
      </c>
      <c r="D41" s="1">
        <v>964</v>
      </c>
      <c r="E41" s="15">
        <v>249000000</v>
      </c>
      <c r="F41" s="1">
        <v>258781.2</v>
      </c>
      <c r="G41" t="str" cm="1">
        <f t="array" ref="G41">_xlfn.IFS(
  E41 &lt; 247000000, "Bronze",
  E41 &lt; 256000000, "Silver",
  E41 &lt; 266000000, "Gold",
  TRUE, "Platinum"
)</f>
        <v>Silver</v>
      </c>
      <c r="H41" s="17">
        <f t="shared" si="0"/>
        <v>9960000</v>
      </c>
    </row>
    <row r="42" spans="1:8">
      <c r="A42" s="1">
        <v>36</v>
      </c>
      <c r="B42" s="1" t="s">
        <v>297</v>
      </c>
      <c r="C42" s="1" t="s">
        <v>26</v>
      </c>
      <c r="D42" s="1">
        <v>976</v>
      </c>
      <c r="E42" s="15">
        <v>248000000</v>
      </c>
      <c r="F42" s="1">
        <v>254440.9</v>
      </c>
      <c r="G42" t="str" cm="1">
        <f t="array" ref="G42">_xlfn.IFS(
  E42 &lt; 247000000, "Bronze",
  E42 &lt; 256000000, "Silver",
  E42 &lt; 266000000, "Gold",
  TRUE, "Platinum"
)</f>
        <v>Silver</v>
      </c>
      <c r="H42" s="17">
        <f t="shared" si="0"/>
        <v>9920000</v>
      </c>
    </row>
    <row r="43" spans="1:8">
      <c r="A43" s="1">
        <v>48</v>
      </c>
      <c r="B43" s="1" t="s">
        <v>298</v>
      </c>
      <c r="C43" s="1" t="s">
        <v>23</v>
      </c>
      <c r="D43" s="1">
        <v>981</v>
      </c>
      <c r="E43" s="15">
        <v>248000000</v>
      </c>
      <c r="F43" s="1">
        <v>252441.2</v>
      </c>
      <c r="G43" t="str" cm="1">
        <f t="array" ref="G43">_xlfn.IFS(
  E43 &lt; 247000000, "Bronze",
  E43 &lt; 256000000, "Silver",
  E43 &lt; 266000000, "Gold",
  TRUE, "Platinum"
)</f>
        <v>Silver</v>
      </c>
      <c r="H43" s="17">
        <f t="shared" si="0"/>
        <v>9920000</v>
      </c>
    </row>
    <row r="44" spans="1:8">
      <c r="A44" s="1">
        <v>29</v>
      </c>
      <c r="B44" s="1" t="s">
        <v>299</v>
      </c>
      <c r="C44" s="1" t="s">
        <v>24</v>
      </c>
      <c r="D44" s="1">
        <v>980</v>
      </c>
      <c r="E44" s="15">
        <v>247000000</v>
      </c>
      <c r="F44" s="1">
        <v>252254.4</v>
      </c>
      <c r="G44" t="str" cm="1">
        <f t="array" ref="G44">_xlfn.IFS(
  E44 &lt; 247000000, "Bronze",
  E44 &lt; 256000000, "Silver",
  E44 &lt; 266000000, "Gold",
  TRUE, "Platinum"
)</f>
        <v>Silver</v>
      </c>
      <c r="H44" s="17">
        <f t="shared" si="0"/>
        <v>9880000</v>
      </c>
    </row>
    <row r="45" spans="1:8">
      <c r="A45" s="1">
        <v>2</v>
      </c>
      <c r="B45" s="1" t="s">
        <v>300</v>
      </c>
      <c r="C45" s="1" t="s">
        <v>27</v>
      </c>
      <c r="D45" s="1">
        <v>1000</v>
      </c>
      <c r="E45" s="15">
        <v>247000000</v>
      </c>
      <c r="F45" s="1">
        <v>246635.6</v>
      </c>
      <c r="G45" t="str" cm="1">
        <f t="array" ref="G45">_xlfn.IFS(
  E45 &lt; 247000000, "Bronze",
  E45 &lt; 256000000, "Silver",
  E45 &lt; 266000000, "Gold",
  TRUE, "Platinum"
)</f>
        <v>Silver</v>
      </c>
      <c r="H45" s="17">
        <f t="shared" si="0"/>
        <v>9880000</v>
      </c>
    </row>
    <row r="46" spans="1:8">
      <c r="A46" s="1">
        <v>27</v>
      </c>
      <c r="B46" s="1" t="s">
        <v>301</v>
      </c>
      <c r="C46" s="1" t="s">
        <v>25</v>
      </c>
      <c r="D46" s="1">
        <v>1033</v>
      </c>
      <c r="E46" s="15">
        <v>243000000</v>
      </c>
      <c r="F46" s="1">
        <v>235402.1</v>
      </c>
      <c r="G46" t="str" cm="1">
        <f t="array" ref="G46">_xlfn.IFS(
  E46 &lt; 247000000, "Bronze",
  E46 &lt; 256000000, "Silver",
  E46 &lt; 266000000, "Gold",
  TRUE, "Platinum"
)</f>
        <v>Bronze</v>
      </c>
      <c r="H46" s="17">
        <f t="shared" si="0"/>
        <v>4860000</v>
      </c>
    </row>
    <row r="47" spans="1:8">
      <c r="A47" s="1">
        <v>15</v>
      </c>
      <c r="B47" s="1" t="s">
        <v>302</v>
      </c>
      <c r="C47" s="1" t="s">
        <v>23</v>
      </c>
      <c r="D47" s="1">
        <v>962</v>
      </c>
      <c r="E47" s="15">
        <v>243000000</v>
      </c>
      <c r="F47" s="1">
        <v>252103.2</v>
      </c>
      <c r="G47" t="str" cm="1">
        <f t="array" ref="G47">_xlfn.IFS(
  E47 &lt; 247000000, "Bronze",
  E47 &lt; 256000000, "Silver",
  E47 &lt; 266000000, "Gold",
  TRUE, "Platinum"
)</f>
        <v>Bronze</v>
      </c>
      <c r="H47" s="17">
        <f t="shared" si="0"/>
        <v>4860000</v>
      </c>
    </row>
    <row r="48" spans="1:8">
      <c r="A48" s="1">
        <v>44</v>
      </c>
      <c r="B48" s="1" t="s">
        <v>303</v>
      </c>
      <c r="C48" s="1" t="s">
        <v>26</v>
      </c>
      <c r="D48" s="1">
        <v>996</v>
      </c>
      <c r="E48" s="15">
        <v>241000000</v>
      </c>
      <c r="F48" s="1">
        <v>242135.1</v>
      </c>
      <c r="G48" t="str" cm="1">
        <f t="array" ref="G48">_xlfn.IFS(
  E48 &lt; 247000000, "Bronze",
  E48 &lt; 256000000, "Silver",
  E48 &lt; 266000000, "Gold",
  TRUE, "Platinum"
)</f>
        <v>Bronze</v>
      </c>
      <c r="H48" s="17">
        <f t="shared" si="0"/>
        <v>4820000</v>
      </c>
    </row>
    <row r="49" spans="1:8">
      <c r="A49" s="1">
        <v>19</v>
      </c>
      <c r="B49" s="1" t="s">
        <v>304</v>
      </c>
      <c r="C49" s="1" t="s">
        <v>25</v>
      </c>
      <c r="D49" s="1">
        <v>954</v>
      </c>
      <c r="E49" s="15">
        <v>241000000</v>
      </c>
      <c r="F49" s="1">
        <v>252361.9</v>
      </c>
      <c r="G49" t="str" cm="1">
        <f t="array" ref="G49">_xlfn.IFS(
  E49 &lt; 247000000, "Bronze",
  E49 &lt; 256000000, "Silver",
  E49 &lt; 266000000, "Gold",
  TRUE, "Platinum"
)</f>
        <v>Bronze</v>
      </c>
      <c r="H49" s="17">
        <f t="shared" si="0"/>
        <v>4820000</v>
      </c>
    </row>
    <row r="50" spans="1:8">
      <c r="A50" s="1">
        <v>5</v>
      </c>
      <c r="B50" s="1" t="s">
        <v>305</v>
      </c>
      <c r="C50" s="1" t="s">
        <v>25</v>
      </c>
      <c r="D50" s="1">
        <v>1004</v>
      </c>
      <c r="E50" s="15">
        <v>241000000</v>
      </c>
      <c r="F50" s="1">
        <v>239589.4</v>
      </c>
      <c r="G50" t="str" cm="1">
        <f t="array" ref="G50">_xlfn.IFS(
  E50 &lt; 247000000, "Bronze",
  E50 &lt; 256000000, "Silver",
  E50 &lt; 266000000, "Gold",
  TRUE, "Platinum"
)</f>
        <v>Bronze</v>
      </c>
      <c r="H50" s="17">
        <f t="shared" si="0"/>
        <v>4820000</v>
      </c>
    </row>
    <row r="51" spans="1:8">
      <c r="A51" s="1">
        <v>17</v>
      </c>
      <c r="B51" s="1" t="s">
        <v>306</v>
      </c>
      <c r="C51" s="1" t="s">
        <v>23</v>
      </c>
      <c r="D51" s="1">
        <v>959</v>
      </c>
      <c r="E51" s="15">
        <v>238000000</v>
      </c>
      <c r="F51" s="1">
        <v>247684</v>
      </c>
      <c r="G51" t="str" cm="1">
        <f t="array" ref="G51">_xlfn.IFS(
  E51 &lt; 247000000, "Bronze",
  E51 &lt; 256000000, "Silver",
  E51 &lt; 266000000, "Gold",
  TRUE, "Platinum"
)</f>
        <v>Bronze</v>
      </c>
      <c r="H51" s="17">
        <f t="shared" si="0"/>
        <v>4760000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2026-09-18T02:51:46Z</dcterms:created>
  <dcterms:modified xsi:type="dcterms:W3CDTF">2026-09-22T08:19:14Z</dcterms:modified>
  <cp:category/>
  <cp:contentStatus/>
</cp:coreProperties>
</file>